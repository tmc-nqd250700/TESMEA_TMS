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14\source\repos\TESMEA_TMS\Templates\"/>
    </mc:Choice>
  </mc:AlternateContent>
  <xr:revisionPtr revIDLastSave="0" documentId="13_ncr:1_{2B6B9878-A30F-4F75-8BD4-27003403CC75}" xr6:coauthVersionLast="47" xr6:coauthVersionMax="47" xr10:uidLastSave="{00000000-0000-0000-0000-000000000000}"/>
  <bookViews>
    <workbookView xWindow="11424" yWindow="0" windowWidth="11712" windowHeight="12336" firstSheet="1" activeTab="1" xr2:uid="{067E25EF-8C5C-4BC1-9454-113A69F7CA1E}"/>
  </bookViews>
  <sheets>
    <sheet name="Form" sheetId="5" state="hidden" r:id="rId1"/>
    <sheet name="Calculation" sheetId="1" r:id="rId2"/>
    <sheet name="Report" sheetId="9" state="hidden" r:id="rId3"/>
    <sheet name="Design Condition" sheetId="12" r:id="rId4"/>
    <sheet name="Normalized Condition" sheetId="13" r:id="rId5"/>
    <sheet name="Operating Condition" sheetId="14" r:id="rId6"/>
    <sheet name="Full" sheetId="11" r:id="rId7"/>
    <sheet name="Sheet2" sheetId="3" state="hidden" r:id="rId8"/>
  </sheets>
  <definedNames>
    <definedName name="solver_adj" localSheetId="1" hidden="1">Calculation!$B$51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Calculation!#REF!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hs1" localSheetId="1" hidden="1">Calculation!#REF!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8" i="9" l="1"/>
  <c r="I109" i="9"/>
  <c r="I110" i="9"/>
  <c r="I111" i="9"/>
  <c r="I112" i="9"/>
  <c r="I113" i="9"/>
  <c r="I107" i="9"/>
  <c r="G108" i="9"/>
  <c r="G109" i="9"/>
  <c r="G110" i="9"/>
  <c r="G111" i="9"/>
  <c r="G112" i="9"/>
  <c r="G113" i="9"/>
  <c r="G107" i="9"/>
  <c r="E108" i="9"/>
  <c r="E109" i="9"/>
  <c r="E110" i="9"/>
  <c r="E111" i="9"/>
  <c r="E112" i="9"/>
  <c r="E113" i="9"/>
  <c r="E107" i="9"/>
  <c r="C108" i="9"/>
  <c r="C109" i="9"/>
  <c r="C110" i="9"/>
  <c r="C111" i="9"/>
  <c r="C112" i="9"/>
  <c r="C113" i="9"/>
  <c r="C107" i="9"/>
  <c r="I99" i="9"/>
  <c r="I98" i="9"/>
  <c r="I97" i="9"/>
  <c r="I92" i="9"/>
  <c r="I91" i="9"/>
  <c r="I90" i="9"/>
  <c r="I89" i="9"/>
  <c r="I85" i="9"/>
  <c r="I84" i="9"/>
  <c r="I83" i="9"/>
  <c r="G119" i="9" l="1"/>
  <c r="G124" i="9"/>
  <c r="G125" i="9"/>
  <c r="G123" i="9"/>
  <c r="G122" i="9"/>
  <c r="G121" i="9"/>
  <c r="G120" i="9"/>
  <c r="G136" i="9" l="1"/>
  <c r="G137" i="9"/>
  <c r="G133" i="9"/>
  <c r="G135" i="9"/>
  <c r="G138" i="9"/>
  <c r="G134" i="9"/>
  <c r="I96" i="9" l="1"/>
  <c r="C125" i="9" l="1"/>
  <c r="G132" i="9"/>
  <c r="C119" i="9" l="1"/>
  <c r="C123" i="9"/>
  <c r="C121" i="9"/>
  <c r="C138" i="9"/>
  <c r="C120" i="9"/>
  <c r="C122" i="9"/>
  <c r="C124" i="9"/>
  <c r="C134" i="9" l="1"/>
  <c r="C136" i="9"/>
  <c r="C135" i="9"/>
  <c r="C137" i="9"/>
  <c r="C133" i="9"/>
  <c r="I125" i="9"/>
  <c r="I124" i="9"/>
  <c r="E138" i="9"/>
  <c r="E137" i="9"/>
  <c r="C132" i="9" l="1"/>
  <c r="E125" i="9"/>
  <c r="I138" i="9"/>
  <c r="I137" i="9"/>
  <c r="I120" i="9"/>
  <c r="I122" i="9"/>
  <c r="I121" i="9"/>
  <c r="I123" i="9"/>
  <c r="E133" i="9"/>
  <c r="E134" i="9"/>
  <c r="E136" i="9"/>
  <c r="E135" i="9"/>
  <c r="E121" i="9" l="1"/>
  <c r="E120" i="9"/>
  <c r="E123" i="9"/>
  <c r="E124" i="9"/>
  <c r="E122" i="9"/>
  <c r="I134" i="9"/>
  <c r="I135" i="9"/>
  <c r="I136" i="9"/>
  <c r="I133" i="9"/>
  <c r="I119" i="9"/>
  <c r="E132" i="9"/>
  <c r="E119" i="9" l="1"/>
  <c r="I132" i="9"/>
</calcChain>
</file>

<file path=xl/sharedStrings.xml><?xml version="1.0" encoding="utf-8"?>
<sst xmlns="http://schemas.openxmlformats.org/spreadsheetml/2006/main" count="356" uniqueCount="228">
  <si>
    <t>2. Chiều dài ống gió tổn thất (mm)</t>
  </si>
  <si>
    <t>5. Hệ số ma sát ống K</t>
  </si>
  <si>
    <t>Kiểm tra số</t>
  </si>
  <si>
    <t>1. Đường kính ống côn (mm)</t>
  </si>
  <si>
    <t>3. Đường kính ống gió (mm)</t>
  </si>
  <si>
    <t>Độ ẩm tương đối (%)</t>
  </si>
  <si>
    <t>Áp suất tĩnh (Pa)</t>
  </si>
  <si>
    <t>I. Sơ đồ hệ thống đo kiểm</t>
  </si>
  <si>
    <t>Sơ đồ quạt và vị trí đo kiểm</t>
  </si>
  <si>
    <t>Lưu ý:</t>
  </si>
  <si>
    <t>II.1 Thông số cơ bản của đường ống gió</t>
  </si>
  <si>
    <t>Điện áp (V)</t>
  </si>
  <si>
    <t>Dòng làm việc (A)</t>
  </si>
  <si>
    <t>III. Tính toán các thông số đo kiểm</t>
  </si>
  <si>
    <t>Họp TOMECO về phần mềm C1</t>
  </si>
  <si>
    <t>Chậm trong chuyển đồi số</t>
  </si>
  <si>
    <t>II.2 Thông số cơ bản của quạt</t>
  </si>
  <si>
    <t>8. Công suất động cơ (kW)</t>
  </si>
  <si>
    <t xml:space="preserve">9. Hệ số động cơ </t>
  </si>
  <si>
    <t>4. Công suất động cơ (kW)</t>
  </si>
  <si>
    <t xml:space="preserve">6. Hệ số động cơ </t>
  </si>
  <si>
    <t>7. Hiệu suất động cơ (%)</t>
  </si>
  <si>
    <t>5. Số vòng quay của quạt (vòng/phút)</t>
  </si>
  <si>
    <t>8. Áp suất khí quyển (kPa)</t>
  </si>
  <si>
    <t>9. Độ nhớt không khí</t>
  </si>
  <si>
    <t>10. Nhiệt độ bầu khô (oC)</t>
  </si>
  <si>
    <t>11. Độ ẩm tương đối (%)</t>
  </si>
  <si>
    <t>12. Số vòng quay thực tế của quạt (vòng/phút)</t>
  </si>
  <si>
    <t>13. Áp suất tĩnh điểm 1 (Pa)</t>
  </si>
  <si>
    <t>14. Áp suất tĩnh điểm 2 (Pa)</t>
  </si>
  <si>
    <t>15. Dòng làm việc (A)</t>
  </si>
  <si>
    <t>16. Điện áp (V)</t>
  </si>
  <si>
    <t>FORM NHẬP DỮ LIỆU</t>
  </si>
  <si>
    <t>DỮ LIỆU ỐNG GIÓ</t>
  </si>
  <si>
    <t>DỮ LIỆ̣U ĐỘNG CƠ</t>
  </si>
  <si>
    <t>DỮ LIỆU ĐO KIỂM</t>
  </si>
  <si>
    <t>Pa</t>
  </si>
  <si>
    <t>kW</t>
  </si>
  <si>
    <t>TOMECO MECHANIC-ELECTRICAL.,JSC</t>
  </si>
  <si>
    <t>Head Office: 53 Nguyen Xien Street, Thanh Xuan, Hanoi</t>
  </si>
  <si>
    <t>Factory: Km21+200 Ngoc Liep, Quoc Oai, Hanoi</t>
  </si>
  <si>
    <t xml:space="preserve">Tel: 0243 563 1130 - Fax: 0243 563 3980 </t>
  </si>
  <si>
    <t>Email: toancau@tomeco.vn - Web: www.tomeco.vn</t>
  </si>
  <si>
    <t>ISO 5801:2007 - Industrial Fans - Performance testing using Standardised airways</t>
  </si>
  <si>
    <t>TCVN 9439:2013 - Quạt công nghiệp - Thử đặc tính khi sử dụng đường ống gió tiêu chuẩn</t>
  </si>
  <si>
    <t>The performance test and technical fans complies with ISO 5801:2007 and TCVN 9439:2013</t>
  </si>
  <si>
    <t>Đường đặc tuyến và các thông tin kỹ thuật của quạt được đo kiểm phù hợp tiêu chuẩn ISO 5801:2007 và TCVN 9439:2013</t>
  </si>
  <si>
    <t>1 - Nắn dòng</t>
  </si>
  <si>
    <t xml:space="preserve">2 - Côn chuyển </t>
  </si>
  <si>
    <t>3 - Vị trí lắp quạt</t>
  </si>
  <si>
    <t>Hình 1. Sơ đồ kiểu lắp và vị trí đo kiểm</t>
  </si>
  <si>
    <r>
      <t xml:space="preserve">1. Đường kính ống D5 (mm)
</t>
    </r>
    <r>
      <rPr>
        <i/>
        <sz val="13"/>
        <color theme="1"/>
        <rFont val="Times New Roman"/>
        <family val="1"/>
      </rPr>
      <t>1. Duct diameter D5 (mm)</t>
    </r>
  </si>
  <si>
    <r>
      <t xml:space="preserve">2. Đường kính ống D3 (mm)
</t>
    </r>
    <r>
      <rPr>
        <i/>
        <sz val="13"/>
        <color theme="1"/>
        <rFont val="Times New Roman"/>
        <family val="1"/>
      </rPr>
      <t>2. Duct diameter D3 (mm)</t>
    </r>
  </si>
  <si>
    <r>
      <t xml:space="preserve">3. Chiều dài tổn thất ống gió (mm)
</t>
    </r>
    <r>
      <rPr>
        <i/>
        <sz val="13"/>
        <color theme="1"/>
        <rFont val="Times New Roman"/>
        <family val="1"/>
      </rPr>
      <t>3. Duct Friction Length (mm)</t>
    </r>
  </si>
  <si>
    <r>
      <rPr>
        <sz val="13"/>
        <color theme="1"/>
        <rFont val="Times New Roman"/>
        <family val="1"/>
      </rPr>
      <t>5. Số vòng quay của quạt (RPM)</t>
    </r>
    <r>
      <rPr>
        <i/>
        <sz val="13"/>
        <color theme="1"/>
        <rFont val="Times New Roman"/>
        <family val="1"/>
      </rPr>
      <t xml:space="preserve">
5. Speed (RPM)</t>
    </r>
  </si>
  <si>
    <r>
      <rPr>
        <sz val="13"/>
        <color theme="1"/>
        <rFont val="Times New Roman"/>
        <family val="1"/>
      </rPr>
      <t xml:space="preserve">6. Hệ số động cơ </t>
    </r>
    <r>
      <rPr>
        <i/>
        <sz val="13"/>
        <color theme="1"/>
        <rFont val="Times New Roman"/>
        <family val="1"/>
      </rPr>
      <t xml:space="preserve">
6. Power factor</t>
    </r>
  </si>
  <si>
    <r>
      <rPr>
        <sz val="13"/>
        <color theme="1"/>
        <rFont val="Times New Roman"/>
        <family val="1"/>
      </rPr>
      <t>7. Hiệu suất động cơ (%)</t>
    </r>
    <r>
      <rPr>
        <i/>
        <sz val="13"/>
        <color theme="1"/>
        <rFont val="Times New Roman"/>
        <family val="1"/>
      </rPr>
      <t xml:space="preserve">
7. Efficiency (%)</t>
    </r>
  </si>
  <si>
    <r>
      <rPr>
        <sz val="13"/>
        <color theme="1"/>
        <rFont val="Times New Roman"/>
        <family val="1"/>
      </rPr>
      <t>4. Công suất động cơ (kW)</t>
    </r>
    <r>
      <rPr>
        <i/>
        <sz val="13"/>
        <color theme="1"/>
        <rFont val="Times New Roman"/>
        <family val="1"/>
      </rPr>
      <t xml:space="preserve">
4. Output (kW)</t>
    </r>
  </si>
  <si>
    <r>
      <t xml:space="preserve">8. Độ nhớt không khí (kg/(m.s)
</t>
    </r>
    <r>
      <rPr>
        <i/>
        <sz val="13"/>
        <color theme="1"/>
        <rFont val="Times New Roman"/>
        <family val="1"/>
      </rPr>
      <t>8. Viscosity of air (kg/(m.s)</t>
    </r>
  </si>
  <si>
    <r>
      <t xml:space="preserve">9. Áp suất khí quyển (kPa)
</t>
    </r>
    <r>
      <rPr>
        <i/>
        <sz val="13"/>
        <color theme="1"/>
        <rFont val="Times New Roman"/>
        <family val="1"/>
      </rPr>
      <t>9. Atmospheric pressure (kPa)</t>
    </r>
  </si>
  <si>
    <r>
      <t xml:space="preserve">10. Nhiệt độ bầu khô (oC)
</t>
    </r>
    <r>
      <rPr>
        <i/>
        <sz val="13"/>
        <color theme="1"/>
        <rFont val="Times New Roman"/>
        <family val="1"/>
      </rPr>
      <t>10. Dry bulb temperature (oC)</t>
    </r>
  </si>
  <si>
    <r>
      <t xml:space="preserve">11. Độ ẩm tương đối (%)
</t>
    </r>
    <r>
      <rPr>
        <i/>
        <sz val="13"/>
        <color theme="1"/>
        <rFont val="Times New Roman"/>
        <family val="1"/>
      </rPr>
      <t>11. Relative Humidity (%)</t>
    </r>
  </si>
  <si>
    <r>
      <t xml:space="preserve">Mã quạt
</t>
    </r>
    <r>
      <rPr>
        <i/>
        <sz val="13"/>
        <color theme="1"/>
        <rFont val="Times New Roman"/>
        <family val="1"/>
      </rPr>
      <t>Model</t>
    </r>
  </si>
  <si>
    <r>
      <t xml:space="preserve">Kích thước guồng cánh (mm)
</t>
    </r>
    <r>
      <rPr>
        <i/>
        <sz val="13"/>
        <color theme="1"/>
        <rFont val="Times New Roman"/>
        <family val="1"/>
      </rPr>
      <t>Size (mm)</t>
    </r>
  </si>
  <si>
    <r>
      <t xml:space="preserve">Tốc độ (RPM)
</t>
    </r>
    <r>
      <rPr>
        <i/>
        <sz val="13"/>
        <color theme="1"/>
        <rFont val="Times New Roman"/>
        <family val="1"/>
      </rPr>
      <t>Speed (RPM)</t>
    </r>
  </si>
  <si>
    <r>
      <t xml:space="preserve">Kiểu truyền động
</t>
    </r>
    <r>
      <rPr>
        <i/>
        <sz val="13"/>
        <color theme="1"/>
        <rFont val="Times New Roman"/>
        <family val="1"/>
      </rPr>
      <t>Drive</t>
    </r>
  </si>
  <si>
    <r>
      <t xml:space="preserve">Công suất động cơ (kW)
</t>
    </r>
    <r>
      <rPr>
        <i/>
        <sz val="13"/>
        <color theme="1"/>
        <rFont val="Times New Roman"/>
        <family val="1"/>
      </rPr>
      <t>Output (kW)</t>
    </r>
  </si>
  <si>
    <r>
      <t xml:space="preserve">12. Nhiệt độ bầu ướt (oC)
</t>
    </r>
    <r>
      <rPr>
        <i/>
        <sz val="13"/>
        <color theme="1"/>
        <rFont val="Times New Roman"/>
        <family val="1"/>
      </rPr>
      <t>12. Wet bulb temperature (oC)</t>
    </r>
  </si>
  <si>
    <r>
      <t xml:space="preserve">Chênh lệch áp suất
</t>
    </r>
    <r>
      <rPr>
        <i/>
        <sz val="11"/>
        <color theme="1"/>
        <rFont val="Times New Roman"/>
        <family val="1"/>
      </rPr>
      <t>Differential pressure (Pa)</t>
    </r>
  </si>
  <si>
    <r>
      <t xml:space="preserve">Dòng làm việc
</t>
    </r>
    <r>
      <rPr>
        <i/>
        <sz val="11"/>
        <color theme="1"/>
        <rFont val="Times New Roman"/>
        <family val="1"/>
      </rPr>
      <t>Amps Reading
 (A)</t>
    </r>
  </si>
  <si>
    <r>
      <t xml:space="preserve">Điện áp 
</t>
    </r>
    <r>
      <rPr>
        <i/>
        <sz val="11"/>
        <color theme="1"/>
        <rFont val="Times New Roman"/>
        <family val="1"/>
      </rPr>
      <t>Volts Reading
(V)</t>
    </r>
  </si>
  <si>
    <r>
      <t xml:space="preserve">Lần đo
</t>
    </r>
    <r>
      <rPr>
        <i/>
        <sz val="11"/>
        <color theme="1"/>
        <rFont val="Times New Roman"/>
        <family val="1"/>
      </rPr>
      <t>Test No.</t>
    </r>
  </si>
  <si>
    <r>
      <t xml:space="preserve">Lần đo
</t>
    </r>
    <r>
      <rPr>
        <i/>
        <sz val="11"/>
        <rFont val="Times New Roman"/>
        <family val="1"/>
      </rPr>
      <t>Test No.</t>
    </r>
  </si>
  <si>
    <r>
      <t xml:space="preserve">Lưu lượng 
</t>
    </r>
    <r>
      <rPr>
        <i/>
        <sz val="11"/>
        <rFont val="Times New Roman"/>
        <family val="1"/>
      </rPr>
      <t>Volume (m3/s)</t>
    </r>
  </si>
  <si>
    <r>
      <t xml:space="preserve">Áp suất tĩnh
</t>
    </r>
    <r>
      <rPr>
        <i/>
        <sz val="11"/>
        <rFont val="Times New Roman"/>
        <family val="1"/>
      </rPr>
      <t>Static pressure (Pa)</t>
    </r>
  </si>
  <si>
    <r>
      <t xml:space="preserve">Áp suất tĩnh
</t>
    </r>
    <r>
      <rPr>
        <i/>
        <sz val="11"/>
        <color theme="1"/>
        <rFont val="Times New Roman"/>
        <family val="1"/>
      </rPr>
      <t>Static pressure (Pa)</t>
    </r>
  </si>
  <si>
    <r>
      <t xml:space="preserve">Công suất 
</t>
    </r>
    <r>
      <rPr>
        <i/>
        <sz val="11"/>
        <rFont val="Times New Roman"/>
        <family val="1"/>
      </rPr>
      <t>Power (kW)</t>
    </r>
  </si>
  <si>
    <r>
      <t xml:space="preserve">Hiệu suất
</t>
    </r>
    <r>
      <rPr>
        <i/>
        <sz val="11"/>
        <rFont val="Times New Roman"/>
        <family val="1"/>
      </rPr>
      <t>Efficiency (%)</t>
    </r>
  </si>
  <si>
    <t>Chênh lệch áp suất (Pa)</t>
  </si>
  <si>
    <t>STT</t>
  </si>
  <si>
    <t xml:space="preserve">III.1 Kết quả tại điều kiện đo kiểm </t>
  </si>
  <si>
    <t xml:space="preserve">Vận tốc dòng khí </t>
  </si>
  <si>
    <t>Công suất động cơ thực tế (kW)</t>
  </si>
  <si>
    <t>Áp suất báo hòa Psat (Pa)</t>
  </si>
  <si>
    <t>Áp suất riêng phần Pv</t>
  </si>
  <si>
    <t>Lưu lượng khối lượng (kg/s)</t>
  </si>
  <si>
    <t>Áp suất động (Pa)</t>
  </si>
  <si>
    <t>Tổn thất đường ống (Pa)</t>
  </si>
  <si>
    <t>Áp suất tĩnh (Pa)</t>
  </si>
  <si>
    <t>-</t>
  </si>
  <si>
    <t>Hình 2. Đường cong đặc tuyến của quạt</t>
  </si>
  <si>
    <t>Người thực hiện:</t>
  </si>
  <si>
    <t>Test perfprmed by:</t>
  </si>
  <si>
    <t>Người chứng kiến:</t>
  </si>
  <si>
    <t>Test witnessed by:</t>
  </si>
  <si>
    <t>Người phê duyệt:</t>
  </si>
  <si>
    <t>Approved by:</t>
  </si>
  <si>
    <t>BÁO CÁO KẾT QUẢ ĐO KIỂM ĐẶC TÍNH QUẠT CÔNG NGHIỆP</t>
  </si>
  <si>
    <t>Industrial Fan Performance Test Report</t>
  </si>
  <si>
    <t>I. Tiêu chuẩn áp dụng/Reference Standard</t>
  </si>
  <si>
    <t xml:space="preserve">II. Thông tin quạt đo kiểm/Fan Details </t>
  </si>
  <si>
    <t>III. Sơ đồ hệ thống đo kiểm (Loại C)/Test arrangement (Type C)</t>
  </si>
  <si>
    <t>IV. Dữ liệu đo kiểm/Test information</t>
  </si>
  <si>
    <t xml:space="preserve">Bảng 4. Thông số đo kiểm/Table 4. Measurement Parameter
</t>
  </si>
  <si>
    <t xml:space="preserve">Bảng 5. Thông số tại điều kiện đo kiểm/Table 5. Test data at test condition </t>
  </si>
  <si>
    <t>Bảng 6.Thông số tại điều kiện làm việc của quạt /Table 6. Test data at operating condition</t>
  </si>
  <si>
    <t xml:space="preserve"> Bảng 3. Thông số cơ bản của môi trường/Table 3. Atmospheric condition</t>
  </si>
  <si>
    <r>
      <rPr>
        <sz val="13"/>
        <color theme="1"/>
        <rFont val="Times New Roman"/>
        <family val="1"/>
      </rPr>
      <t>Bảng 2. Thông số cơ bản của động cơ/</t>
    </r>
    <r>
      <rPr>
        <i/>
        <sz val="13"/>
        <color theme="1"/>
        <rFont val="Times New Roman"/>
        <family val="1"/>
      </rPr>
      <t>Table 2. Motors Techincal Data</t>
    </r>
  </si>
  <si>
    <r>
      <rPr>
        <sz val="13"/>
        <color theme="1"/>
        <rFont val="Times New Roman"/>
        <family val="1"/>
      </rPr>
      <t>Bảng 1. Thông số cơ bản của đường ống gió/</t>
    </r>
    <r>
      <rPr>
        <i/>
        <sz val="13"/>
        <color theme="1"/>
        <rFont val="Times New Roman"/>
        <family val="1"/>
      </rPr>
      <t>Table 1. Duct information</t>
    </r>
  </si>
  <si>
    <r>
      <t>Số phiếu đo/</t>
    </r>
    <r>
      <rPr>
        <b/>
        <i/>
        <sz val="13"/>
        <color theme="1"/>
        <rFont val="Times New Roman"/>
        <family val="1"/>
      </rPr>
      <t>Report</t>
    </r>
    <r>
      <rPr>
        <b/>
        <sz val="13"/>
        <color theme="1"/>
        <rFont val="Times New Roman"/>
        <family val="1"/>
      </rPr>
      <t>:</t>
    </r>
  </si>
  <si>
    <r>
      <t>Khách hàng</t>
    </r>
    <r>
      <rPr>
        <b/>
        <i/>
        <sz val="13"/>
        <color theme="1"/>
        <rFont val="Times New Roman"/>
        <family val="1"/>
      </rPr>
      <t>/Customer:</t>
    </r>
  </si>
  <si>
    <r>
      <t>Dự án</t>
    </r>
    <r>
      <rPr>
        <b/>
        <i/>
        <sz val="13"/>
        <color theme="1"/>
        <rFont val="Times New Roman"/>
        <family val="1"/>
      </rPr>
      <t>/Projetct:</t>
    </r>
  </si>
  <si>
    <r>
      <t>Ngày</t>
    </r>
    <r>
      <rPr>
        <b/>
        <i/>
        <sz val="13"/>
        <color theme="1"/>
        <rFont val="Times New Roman"/>
        <family val="1"/>
      </rPr>
      <t>/Date:</t>
    </r>
  </si>
  <si>
    <r>
      <t>Mã quạt/</t>
    </r>
    <r>
      <rPr>
        <b/>
        <i/>
        <sz val="13"/>
        <color theme="1"/>
        <rFont val="Times New Roman"/>
        <family val="1"/>
      </rPr>
      <t>Model:</t>
    </r>
  </si>
  <si>
    <t>BÁO CÁO KẾT QUẢ ĐO KIỂM ĐẶC TÍNH QUẠT CÔNG NGHIỆP</t>
  </si>
  <si>
    <t>INDUSTRIAL FAN PERFORMANCE TEST REPORT</t>
  </si>
  <si>
    <t>Tiêu chuẩn áp dụng/Test standard: TCVN 9439:2013/ISO 5801:2007</t>
  </si>
  <si>
    <t>%</t>
  </si>
  <si>
    <t>Nm3/hr</t>
  </si>
  <si>
    <t>ĐẶC TUYẾN HOẠT ĐỘNG CỦA QUẠT / FAN PERFORMANCE CURVES</t>
  </si>
  <si>
    <t>KẾT LUẬN / FINAL INSPECTION REMARK</t>
  </si>
  <si>
    <t>Người thực hiện</t>
  </si>
  <si>
    <t>Người chứng kiến</t>
  </si>
  <si>
    <t>Phê duyệt</t>
  </si>
  <si>
    <t>Test performed by</t>
  </si>
  <si>
    <t>Test witnessed By</t>
  </si>
  <si>
    <t>Approved by</t>
  </si>
  <si>
    <t>Áp suất tổng (Pa)</t>
  </si>
  <si>
    <t>Hiệu suất tĩnh (%)</t>
  </si>
  <si>
    <t>Hiệu suất tổng (%)</t>
  </si>
  <si>
    <t>1. Đường kính ống D5 (mm)</t>
  </si>
  <si>
    <t>3. Đường kính ống gió D3 (mm)</t>
  </si>
  <si>
    <t>Áp suất tại điểm đo chênh lệch áp suất P5</t>
  </si>
  <si>
    <t>7. Số vòng quay của quạt NLT (rpm)</t>
  </si>
  <si>
    <t>2. Chiều dài ống gió tổn thất L(mm)</t>
  </si>
  <si>
    <r>
      <t>THÔNG SỐ ĐO QUY ĐỔI VỀ ĐIỀU KIỆN THIẾT KẾ</t>
    </r>
    <r>
      <rPr>
        <i/>
        <sz val="9"/>
        <color theme="0"/>
        <rFont val="Arial"/>
        <family val="2"/>
      </rPr>
      <t>/TEST DATA AT DESIGN CONDITION</t>
    </r>
  </si>
  <si>
    <t>B1</t>
  </si>
  <si>
    <t>Bước</t>
  </si>
  <si>
    <t>B2</t>
  </si>
  <si>
    <t>B3</t>
  </si>
  <si>
    <t>B4</t>
  </si>
  <si>
    <t>B5</t>
  </si>
  <si>
    <t>Hệ số lưu lượng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</si>
  <si>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</si>
  <si>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</si>
  <si>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</si>
  <si>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</si>
  <si>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</si>
  <si>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</si>
  <si>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</si>
  <si>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</si>
  <si>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</si>
  <si>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</si>
  <si>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</si>
  <si>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</si>
  <si>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</si>
  <si>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Am3/hr</t>
  </si>
  <si>
    <t>Thông số/Parameters</t>
  </si>
  <si>
    <t>Đơn vị/Unit</t>
  </si>
  <si>
    <r>
      <rPr>
        <b/>
        <sz val="9"/>
        <color theme="0"/>
        <rFont val="Arial"/>
        <family val="2"/>
      </rPr>
      <t>Lưu lượng</t>
    </r>
    <r>
      <rPr>
        <sz val="9"/>
        <color theme="0"/>
        <rFont val="Arial"/>
        <family val="2"/>
      </rPr>
      <t xml:space="preserve">         
</t>
    </r>
    <r>
      <rPr>
        <i/>
        <sz val="9"/>
        <color theme="0"/>
        <rFont val="Arial"/>
        <family val="2"/>
      </rPr>
      <t>Air volume</t>
    </r>
  </si>
  <si>
    <r>
      <rPr>
        <b/>
        <sz val="9"/>
        <color theme="0"/>
        <rFont val="Arial"/>
        <family val="2"/>
      </rPr>
      <t>Áp suất tĩnh</t>
    </r>
    <r>
      <rPr>
        <sz val="9"/>
        <color theme="0"/>
        <rFont val="Arial"/>
        <family val="2"/>
      </rPr>
      <t xml:space="preserve"> 
</t>
    </r>
    <r>
      <rPr>
        <i/>
        <sz val="9"/>
        <color theme="0"/>
        <rFont val="Arial"/>
        <family val="2"/>
      </rPr>
      <t>Static Pressure</t>
    </r>
  </si>
  <si>
    <r>
      <rPr>
        <b/>
        <sz val="9"/>
        <color theme="0"/>
        <rFont val="Arial"/>
        <family val="2"/>
      </rPr>
      <t>Áp suất tổng</t>
    </r>
    <r>
      <rPr>
        <sz val="9"/>
        <color theme="0"/>
        <rFont val="Arial"/>
        <family val="2"/>
      </rPr>
      <t xml:space="preserve"> 
</t>
    </r>
    <r>
      <rPr>
        <i/>
        <sz val="9"/>
        <color theme="0"/>
        <rFont val="Arial"/>
        <family val="2"/>
      </rPr>
      <t>Total Pressure</t>
    </r>
  </si>
  <si>
    <r>
      <rPr>
        <b/>
        <sz val="9"/>
        <color theme="0"/>
        <rFont val="Arial"/>
        <family val="2"/>
      </rPr>
      <t>Công suất tiêu thụ</t>
    </r>
    <r>
      <rPr>
        <sz val="9"/>
        <color theme="0"/>
        <rFont val="Arial"/>
        <family val="2"/>
      </rPr>
      <t xml:space="preserve"> </t>
    </r>
    <r>
      <rPr>
        <i/>
        <sz val="9"/>
        <color theme="0"/>
        <rFont val="Arial"/>
        <family val="2"/>
      </rPr>
      <t>Absorbed Power</t>
    </r>
  </si>
  <si>
    <r>
      <rPr>
        <b/>
        <sz val="9"/>
        <color theme="0"/>
        <rFont val="Arial"/>
        <family val="2"/>
      </rPr>
      <t>Hiệu suất tĩnh</t>
    </r>
    <r>
      <rPr>
        <sz val="9"/>
        <color theme="0"/>
        <rFont val="Arial"/>
        <family val="2"/>
      </rPr>
      <t xml:space="preserve"> 
</t>
    </r>
    <r>
      <rPr>
        <i/>
        <sz val="9"/>
        <color theme="0"/>
        <rFont val="Arial"/>
        <family val="2"/>
      </rPr>
      <t>Static Effiency</t>
    </r>
  </si>
  <si>
    <r>
      <rPr>
        <b/>
        <sz val="9"/>
        <color theme="0"/>
        <rFont val="Arial"/>
        <family val="2"/>
      </rPr>
      <t>Hiệu suất tổng</t>
    </r>
    <r>
      <rPr>
        <sz val="9"/>
        <color theme="0"/>
        <rFont val="Arial"/>
        <family val="2"/>
      </rPr>
      <t xml:space="preserve"> 
</t>
    </r>
    <r>
      <rPr>
        <i/>
        <sz val="9"/>
        <color theme="0"/>
        <rFont val="Arial"/>
        <family val="2"/>
      </rPr>
      <t>Total Pressure</t>
    </r>
  </si>
  <si>
    <t>Áp suất tĩnh tại điều kiện tiêu chuẩn  (Pa)</t>
  </si>
  <si>
    <t>Công suất hấp thụ tại điều kiện tiêu chuẩn (kW)</t>
  </si>
  <si>
    <t>Áp suất động tại điều kiện tiêu chuẩn (Pa)</t>
  </si>
  <si>
    <t>Áp suất tổng tại điều kiện tiêu chuẩn (Pa)</t>
  </si>
  <si>
    <t>Hiệu chỉnh về điều kiện tiêu chuẩn 20oC</t>
  </si>
  <si>
    <t>Hiệu chuẩn về điều kiện làm việc</t>
  </si>
  <si>
    <r>
      <t>THÔNG SỐ ĐO QUY ĐỔI VỀ ĐIỀU KIỆN TIÊU CHUẨN</t>
    </r>
    <r>
      <rPr>
        <i/>
        <sz val="9"/>
        <color theme="0"/>
        <rFont val="Arial"/>
        <family val="2"/>
      </rPr>
      <t>/TEST DATA AT NORMALIZED CONDITION</t>
    </r>
  </si>
  <si>
    <t xml:space="preserve">KLR tại điều kiện làm việc </t>
  </si>
  <si>
    <r>
      <t>Số vòng quay N</t>
    </r>
    <r>
      <rPr>
        <b/>
        <sz val="8"/>
        <color theme="1"/>
        <rFont val="Times New Roman"/>
        <family val="1"/>
      </rPr>
      <t>TT</t>
    </r>
    <r>
      <rPr>
        <b/>
        <sz val="12"/>
        <color theme="1"/>
        <rFont val="Times New Roman"/>
        <family val="1"/>
      </rPr>
      <t xml:space="preserve"> (rpm)</t>
    </r>
  </si>
  <si>
    <t>Áp suất tĩnh tại điều kiện thực tế  (Pa)</t>
  </si>
  <si>
    <t>Áp suất động tại điều kiện thực tế (Pa)</t>
  </si>
  <si>
    <t>Áp suất tổng tại điều kiện thực tế (Pa)</t>
  </si>
  <si>
    <t>THÔNG SỐ ĐO QUY ĐỔI VỀ ĐIỀU KIỆN THIẾT KẾ/TEST DATA AT DESIGN CONDITION</t>
  </si>
  <si>
    <r>
      <rPr>
        <b/>
        <sz val="8"/>
        <color theme="0"/>
        <rFont val="Arial"/>
        <family val="2"/>
      </rPr>
      <t>Lưu lượng</t>
    </r>
    <r>
      <rPr>
        <sz val="8"/>
        <color theme="0"/>
        <rFont val="Arial"/>
        <family val="2"/>
      </rPr>
      <t xml:space="preserve">         
</t>
    </r>
    <r>
      <rPr>
        <i/>
        <sz val="8"/>
        <color theme="0"/>
        <rFont val="Arial"/>
        <family val="2"/>
      </rPr>
      <t>Air volume</t>
    </r>
  </si>
  <si>
    <r>
      <rPr>
        <b/>
        <sz val="8"/>
        <color theme="0"/>
        <rFont val="Arial"/>
        <family val="2"/>
      </rPr>
      <t>Áp suất tĩnh</t>
    </r>
    <r>
      <rPr>
        <sz val="8"/>
        <color theme="0"/>
        <rFont val="Arial"/>
        <family val="2"/>
      </rPr>
      <t xml:space="preserve"> 
</t>
    </r>
    <r>
      <rPr>
        <i/>
        <sz val="8"/>
        <color theme="0"/>
        <rFont val="Arial"/>
        <family val="2"/>
      </rPr>
      <t>Static Pressure</t>
    </r>
  </si>
  <si>
    <r>
      <rPr>
        <b/>
        <sz val="8"/>
        <color theme="0"/>
        <rFont val="Arial"/>
        <family val="2"/>
      </rPr>
      <t>Công suất tiêu thụ</t>
    </r>
    <r>
      <rPr>
        <sz val="8"/>
        <color theme="0"/>
        <rFont val="Arial"/>
        <family val="2"/>
      </rPr>
      <t xml:space="preserve"> </t>
    </r>
    <r>
      <rPr>
        <i/>
        <sz val="8"/>
        <color theme="0"/>
        <rFont val="Arial"/>
        <family val="2"/>
      </rPr>
      <t>Absorbed Power</t>
    </r>
  </si>
  <si>
    <r>
      <rPr>
        <b/>
        <sz val="8"/>
        <color theme="0"/>
        <rFont val="Arial"/>
        <family val="2"/>
      </rPr>
      <t>Hiệu suất tĩnh</t>
    </r>
    <r>
      <rPr>
        <sz val="8"/>
        <color theme="0"/>
        <rFont val="Arial"/>
        <family val="2"/>
      </rPr>
      <t xml:space="preserve"> 
</t>
    </r>
    <r>
      <rPr>
        <i/>
        <sz val="8"/>
        <color theme="0"/>
        <rFont val="Arial"/>
        <family val="2"/>
      </rPr>
      <t>Static Effiency</t>
    </r>
  </si>
  <si>
    <t>THÔNG SỐ ĐO QUY ĐỔI VỀ ĐIỀU TIÊU CHUẨN/TEST DATA AT NORMALIZED CONDITION</t>
  </si>
  <si>
    <t>THÔNG SỐ ĐO QUY ĐỔI VỀ ĐIỀU KIỆN LÀM VIỆC/TEST DATA AT OPERATING CONDITION</t>
  </si>
  <si>
    <t>THÔNG SỐ ĐO KIỂM QUẠT CÔNG NGHIỆP</t>
  </si>
  <si>
    <t>II. Thông số cơ bản của đường ống và môi trường đo kiểm</t>
  </si>
  <si>
    <t>III. Thông số đo kiểm</t>
  </si>
  <si>
    <t>Kết quả</t>
  </si>
  <si>
    <t>Nhập</t>
  </si>
  <si>
    <r>
      <t>THÔNG SỐ ĐO QUY ĐỔI VỀ ĐIỀU KIỆN LÀM VIỆC</t>
    </r>
    <r>
      <rPr>
        <b/>
        <i/>
        <sz val="9"/>
        <color theme="0"/>
        <rFont val="Arial"/>
        <family val="2"/>
      </rPr>
      <t>/TEST DATA AT OPERATION CONDITION</t>
    </r>
  </si>
  <si>
    <t xml:space="preserve">Lưu ý / Note: </t>
  </si>
  <si>
    <t>Độ nhớt không khí</t>
  </si>
  <si>
    <t>B19</t>
  </si>
  <si>
    <t>10. Tần số</t>
  </si>
  <si>
    <t>11. Hiệu suất động cơ</t>
  </si>
  <si>
    <t>12. Độ nhớt không khí (Pa.s)</t>
  </si>
  <si>
    <t>13. Áp suất khí quyển (kPa)</t>
  </si>
  <si>
    <r>
      <t xml:space="preserve">THÔNG TIN CHUNG </t>
    </r>
    <r>
      <rPr>
        <sz val="9"/>
        <color theme="0"/>
        <rFont val="Arial"/>
        <family val="2"/>
      </rPr>
      <t>/ GENERAL INFORMATION</t>
    </r>
  </si>
  <si>
    <r>
      <t xml:space="preserve">Ký hiệu </t>
    </r>
    <r>
      <rPr>
        <i/>
        <sz val="9"/>
        <rFont val="Arial"/>
        <family val="2"/>
      </rPr>
      <t>/ Sample symbol.</t>
    </r>
  </si>
  <si>
    <r>
      <rPr>
        <b/>
        <sz val="9"/>
        <color theme="1"/>
        <rFont val="Arial"/>
        <family val="2"/>
      </rPr>
      <t xml:space="preserve">Tên mẫu thử </t>
    </r>
    <r>
      <rPr>
        <i/>
        <sz val="9"/>
        <color theme="1"/>
        <rFont val="Arial"/>
        <family val="2"/>
      </rPr>
      <t xml:space="preserve">/ Sample: </t>
    </r>
  </si>
  <si>
    <r>
      <rPr>
        <b/>
        <sz val="9"/>
        <color theme="1"/>
        <rFont val="Arial"/>
        <family val="2"/>
      </rPr>
      <t xml:space="preserve">Cơ sở sản xuất </t>
    </r>
    <r>
      <rPr>
        <i/>
        <sz val="9"/>
        <color theme="1"/>
        <rFont val="Arial"/>
        <family val="2"/>
      </rPr>
      <t xml:space="preserve">/ Manufacturer: </t>
    </r>
  </si>
  <si>
    <r>
      <t xml:space="preserve">Số lượng mẫu </t>
    </r>
    <r>
      <rPr>
        <i/>
        <sz val="9"/>
        <rFont val="Arial"/>
        <family val="2"/>
      </rPr>
      <t xml:space="preserve">/ Quantity: </t>
    </r>
  </si>
  <si>
    <r>
      <t xml:space="preserve">Tình trạng mẫu </t>
    </r>
    <r>
      <rPr>
        <i/>
        <sz val="9"/>
        <rFont val="Arial"/>
        <family val="2"/>
      </rPr>
      <t xml:space="preserve">/ Sample observation:  </t>
    </r>
  </si>
  <si>
    <r>
      <t xml:space="preserve">Ngày nhận yêu cầu </t>
    </r>
    <r>
      <rPr>
        <b/>
        <i/>
        <sz val="9"/>
        <color theme="1"/>
        <rFont val="Arial"/>
        <family val="2"/>
      </rPr>
      <t xml:space="preserve">/ </t>
    </r>
    <r>
      <rPr>
        <i/>
        <sz val="9"/>
        <color theme="1"/>
        <rFont val="Arial"/>
        <family val="2"/>
      </rPr>
      <t xml:space="preserve">Request date: </t>
    </r>
  </si>
  <si>
    <r>
      <t xml:space="preserve">Ngày nhận mẫu / </t>
    </r>
    <r>
      <rPr>
        <i/>
        <sz val="9"/>
        <color theme="1"/>
        <rFont val="Arial"/>
        <family val="2"/>
      </rPr>
      <t xml:space="preserve">Reception date: </t>
    </r>
  </si>
  <si>
    <r>
      <t xml:space="preserve">Ngày thử nghiệm / </t>
    </r>
    <r>
      <rPr>
        <i/>
        <sz val="9"/>
        <color theme="1"/>
        <rFont val="Arial"/>
        <family val="2"/>
      </rPr>
      <t xml:space="preserve">Test duration: </t>
    </r>
  </si>
  <si>
    <r>
      <rPr>
        <b/>
        <sz val="9"/>
        <color theme="1"/>
        <rFont val="Arial"/>
        <family val="2"/>
      </rPr>
      <t xml:space="preserve">Ngày hoàn thành </t>
    </r>
    <r>
      <rPr>
        <i/>
        <sz val="9"/>
        <color theme="1"/>
        <rFont val="Arial"/>
        <family val="2"/>
      </rPr>
      <t xml:space="preserve">/ Test completed: </t>
    </r>
  </si>
  <si>
    <r>
      <rPr>
        <b/>
        <sz val="9"/>
        <color theme="1"/>
        <rFont val="Arial"/>
        <family val="2"/>
      </rPr>
      <t xml:space="preserve">Tiêu chuẩn áp dụng </t>
    </r>
    <r>
      <rPr>
        <i/>
        <sz val="9"/>
        <color theme="1"/>
        <rFont val="Arial"/>
        <family val="2"/>
      </rPr>
      <t xml:space="preserve">/ Applied standards: </t>
    </r>
  </si>
  <si>
    <t>4. Tiết diện ống D5 (m²)</t>
  </si>
  <si>
    <t>6. Tiết diện ống gió D3(m²)</t>
  </si>
  <si>
    <t>14. Nhiệt độ làm việc (ºC)</t>
  </si>
  <si>
    <t>Nhiệt độ bầu khô (ºC)</t>
  </si>
  <si>
    <t>Nhiệt độ bầu ướt (ºC)</t>
  </si>
  <si>
    <t>KLR môi trường (kg/m³)</t>
  </si>
  <si>
    <t>KLR tại điểm đo lưu lượng PL5 (kg/m³)</t>
  </si>
  <si>
    <t>Lưu lượng thể tích (m³/s)</t>
  </si>
  <si>
    <t>KLR điểm đo áp suất PL3 (kg/m³)</t>
  </si>
  <si>
    <t>Lưu lượng thể tích tại PL3 (m³/s)</t>
  </si>
  <si>
    <t>Lưu lượng thể tích theo RPM (m³/s)</t>
  </si>
  <si>
    <t>Hiệu chỉnh lưu lượng thể tích theo RPM (m³/h)</t>
  </si>
  <si>
    <t>Lưu lượng tại điều kiện tiêu chuẩn (m³/s)</t>
  </si>
  <si>
    <t xml:space="preserve">Lưu lượng tại điều kiện tiêu chuẩn (m³/h) </t>
  </si>
  <si>
    <t>Lưu lượng tại điều kiện thực tế (m³/s)</t>
  </si>
  <si>
    <t>Lưu lượng tại điều kiện thực tế (m³/h)</t>
  </si>
  <si>
    <t>Tần số (Hz)</t>
  </si>
  <si>
    <t>Xác định RW</t>
  </si>
  <si>
    <t>Kiểm tra số</t>
  </si>
  <si>
    <t>Công suất động cơ tại điều kiện đo kiểm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</si>
</sst>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6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sz val="10"/>
      <name val="Arial"/>
      <family val="2"/>
      <charset val="163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3"/>
      <color theme="1"/>
      <name val="Times New Roman"/>
      <family val="2"/>
    </font>
    <font>
      <sz val="13"/>
      <name val="Times New Roman"/>
      <family val="1"/>
      <charset val="163"/>
    </font>
    <font>
      <sz val="13"/>
      <name val="Arial"/>
      <family val="2"/>
      <charset val="163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i/>
      <sz val="15"/>
      <color theme="1"/>
      <name val="Times New Roman"/>
      <family val="1"/>
    </font>
    <font>
      <b/>
      <sz val="13"/>
      <name val="Arial"/>
      <family val="2"/>
    </font>
    <font>
      <sz val="11"/>
      <color rgb="FF3F3F76"/>
      <name val="Calibri"/>
      <family val="2"/>
      <scheme val="minor"/>
    </font>
    <font>
      <b/>
      <u/>
      <sz val="13"/>
      <color theme="1"/>
      <name val="Times New Roman"/>
      <family val="1"/>
    </font>
    <font>
      <sz val="13"/>
      <color rgb="FF3F3F76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2"/>
    </font>
    <font>
      <i/>
      <sz val="12.5"/>
      <color theme="1"/>
      <name val="Times New Roman"/>
      <family val="1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i/>
      <sz val="8"/>
      <color theme="0"/>
      <name val="Arial"/>
      <family val="2"/>
    </font>
    <font>
      <i/>
      <sz val="9"/>
      <color theme="0"/>
      <name val="Arial"/>
      <family val="2"/>
    </font>
    <font>
      <b/>
      <sz val="10"/>
      <color theme="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7.5"/>
      <color theme="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1"/>
      <color rgb="FFFA7D00"/>
      <name val="Calibri"/>
      <family val="2"/>
      <scheme val="minor"/>
    </font>
    <font>
      <b/>
      <sz val="8"/>
      <color theme="1"/>
      <name val="Times New Roman"/>
      <family val="1"/>
    </font>
    <font>
      <sz val="12"/>
      <color rgb="FF3F3F76"/>
      <name val="Times New Roman"/>
      <family val="1"/>
    </font>
    <font>
      <b/>
      <i/>
      <sz val="9"/>
      <color theme="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  <font>
      <b/>
      <u/>
      <sz val="9"/>
      <color theme="1"/>
      <name val="Arial "/>
    </font>
    <font>
      <sz val="8"/>
      <name val="Times New Roman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0" fillId="4" borderId="13" applyNumberFormat="0" applyAlignment="0" applyProtection="0"/>
    <xf numFmtId="0" fontId="52" fillId="7" borderId="13" applyNumberFormat="0" applyAlignment="0" applyProtection="0"/>
  </cellStyleXfs>
  <cellXfs count="242">
    <xf numFmtId="0" fontId="0" fillId="0" borderId="0" xfId="0"/>
    <xf numFmtId="0" fontId="1" fillId="0" borderId="0" xfId="0" applyFont="1" applyAlignment="1">
      <alignment vertical="center"/>
    </xf>
    <xf numFmtId="0" fontId="0" fillId="0" borderId="6" xfId="0" applyBorder="1"/>
    <xf numFmtId="0" fontId="0" fillId="0" borderId="8" xfId="0" applyBorder="1"/>
    <xf numFmtId="0" fontId="1" fillId="0" borderId="5" xfId="0" applyFont="1" applyBorder="1"/>
    <xf numFmtId="0" fontId="1" fillId="0" borderId="7" xfId="0" applyFont="1" applyBorder="1"/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4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4" fontId="14" fillId="0" borderId="0" xfId="1" applyNumberFormat="1" applyFont="1" applyAlignment="1">
      <alignment horizontal="left" vertical="center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66" fontId="13" fillId="0" borderId="0" xfId="0" applyNumberFormat="1" applyFont="1" applyAlignment="1">
      <alignment horizontal="left" wrapText="1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21" fillId="0" borderId="0" xfId="0" applyFont="1" applyAlignment="1">
      <alignment horizontal="left"/>
    </xf>
    <xf numFmtId="0" fontId="13" fillId="0" borderId="0" xfId="0" applyFont="1"/>
    <xf numFmtId="0" fontId="11" fillId="0" borderId="0" xfId="0" applyFont="1" applyAlignment="1">
      <alignment horizontal="center" vertical="center"/>
    </xf>
    <xf numFmtId="0" fontId="20" fillId="0" borderId="0" xfId="2" applyFill="1" applyBorder="1" applyAlignment="1">
      <alignment horizontal="center"/>
    </xf>
    <xf numFmtId="0" fontId="20" fillId="0" borderId="0" xfId="2" applyFill="1" applyBorder="1" applyAlignment="1">
      <alignment horizontal="center" vertical="center"/>
    </xf>
    <xf numFmtId="0" fontId="13" fillId="0" borderId="0" xfId="0" applyFont="1" applyAlignment="1">
      <alignment horizontal="left" wrapText="1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/>
    </xf>
    <xf numFmtId="0" fontId="11" fillId="0" borderId="0" xfId="0" applyFont="1"/>
    <xf numFmtId="0" fontId="2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30" fillId="0" borderId="0" xfId="0" applyFont="1"/>
    <xf numFmtId="0" fontId="36" fillId="0" borderId="0" xfId="0" applyFont="1" applyAlignment="1">
      <alignment vertical="center"/>
    </xf>
    <xf numFmtId="0" fontId="34" fillId="0" borderId="0" xfId="0" applyFont="1" applyAlignment="1">
      <alignment horizontal="center"/>
    </xf>
    <xf numFmtId="0" fontId="36" fillId="0" borderId="0" xfId="0" applyFont="1"/>
    <xf numFmtId="0" fontId="40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35" fillId="6" borderId="2" xfId="0" applyFont="1" applyFill="1" applyBorder="1" applyAlignment="1">
      <alignment horizontal="center" vertical="center" wrapText="1"/>
    </xf>
    <xf numFmtId="0" fontId="44" fillId="0" borderId="0" xfId="0" applyFont="1"/>
    <xf numFmtId="0" fontId="45" fillId="0" borderId="0" xfId="0" applyFont="1" applyAlignment="1">
      <alignment vertical="center"/>
    </xf>
    <xf numFmtId="0" fontId="45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46" fillId="0" borderId="0" xfId="0" quotePrefix="1" applyFont="1"/>
    <xf numFmtId="0" fontId="33" fillId="0" borderId="0" xfId="0" applyFont="1" applyAlignment="1">
      <alignment vertical="top"/>
    </xf>
    <xf numFmtId="1" fontId="50" fillId="0" borderId="2" xfId="0" applyNumberFormat="1" applyFont="1" applyBorder="1" applyAlignment="1">
      <alignment horizontal="center" vertical="center"/>
    </xf>
    <xf numFmtId="2" fontId="50" fillId="0" borderId="2" xfId="0" applyNumberFormat="1" applyFont="1" applyBorder="1" applyAlignment="1">
      <alignment horizontal="center" vertical="center"/>
    </xf>
    <xf numFmtId="0" fontId="36" fillId="0" borderId="0" xfId="0" quotePrefix="1" applyFont="1"/>
    <xf numFmtId="0" fontId="41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1" fillId="0" borderId="0" xfId="0" applyFont="1"/>
    <xf numFmtId="0" fontId="50" fillId="0" borderId="0" xfId="0" applyFont="1"/>
    <xf numFmtId="0" fontId="49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2" fillId="0" borderId="0" xfId="0" applyFont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/>
    <xf numFmtId="166" fontId="0" fillId="0" borderId="0" xfId="0" applyNumberFormat="1" applyAlignment="1">
      <alignment horizontal="center" vertical="center"/>
    </xf>
    <xf numFmtId="1" fontId="0" fillId="0" borderId="0" xfId="0" applyNumberFormat="1"/>
    <xf numFmtId="0" fontId="1" fillId="0" borderId="0" xfId="0" applyFont="1"/>
    <xf numFmtId="0" fontId="6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top"/>
    </xf>
    <xf numFmtId="0" fontId="34" fillId="6" borderId="2" xfId="0" applyFont="1" applyFill="1" applyBorder="1" applyAlignment="1">
      <alignment vertical="center" wrapText="1"/>
    </xf>
    <xf numFmtId="0" fontId="35" fillId="6" borderId="2" xfId="0" applyFont="1" applyFill="1" applyBorder="1" applyAlignment="1">
      <alignment horizontal="center" vertical="center"/>
    </xf>
    <xf numFmtId="1" fontId="40" fillId="0" borderId="2" xfId="0" applyNumberFormat="1" applyFont="1" applyBorder="1" applyAlignment="1">
      <alignment horizontal="center" vertical="center"/>
    </xf>
    <xf numFmtId="2" fontId="40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165" fontId="0" fillId="0" borderId="0" xfId="0" applyNumberFormat="1"/>
    <xf numFmtId="0" fontId="5" fillId="0" borderId="0" xfId="0" applyFont="1"/>
    <xf numFmtId="164" fontId="0" fillId="0" borderId="0" xfId="0" applyNumberFormat="1"/>
    <xf numFmtId="166" fontId="0" fillId="0" borderId="0" xfId="0" applyNumberFormat="1" applyAlignment="1">
      <alignment horizontal="center" wrapText="1"/>
    </xf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52" fillId="7" borderId="18" xfId="3" applyBorder="1"/>
    <xf numFmtId="0" fontId="1" fillId="2" borderId="2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/>
    </xf>
    <xf numFmtId="166" fontId="1" fillId="2" borderId="2" xfId="0" applyNumberFormat="1" applyFont="1" applyFill="1" applyBorder="1" applyAlignment="1">
      <alignment horizontal="center" vertical="center" wrapText="1"/>
    </xf>
    <xf numFmtId="0" fontId="57" fillId="6" borderId="2" xfId="0" applyFont="1" applyFill="1" applyBorder="1" applyAlignment="1">
      <alignment horizontal="center" vertical="center" wrapText="1"/>
    </xf>
    <xf numFmtId="0" fontId="56" fillId="6" borderId="17" xfId="0" applyFont="1" applyFill="1" applyBorder="1" applyAlignment="1">
      <alignment horizontal="center" vertical="center" wrapText="1"/>
    </xf>
    <xf numFmtId="1" fontId="50" fillId="0" borderId="2" xfId="0" applyNumberFormat="1" applyFont="1" applyBorder="1" applyAlignment="1">
      <alignment horizontal="center" vertical="center" wrapText="1"/>
    </xf>
    <xf numFmtId="2" fontId="50" fillId="0" borderId="2" xfId="0" applyNumberFormat="1" applyFont="1" applyBorder="1" applyAlignment="1">
      <alignment horizontal="center" vertical="center" wrapText="1"/>
    </xf>
    <xf numFmtId="2" fontId="58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7" fillId="6" borderId="6" xfId="0" applyFont="1" applyFill="1" applyBorder="1" applyAlignment="1">
      <alignment horizontal="center" vertical="center" wrapText="1"/>
    </xf>
    <xf numFmtId="1" fontId="50" fillId="0" borderId="6" xfId="0" applyNumberFormat="1" applyFont="1" applyBorder="1" applyAlignment="1">
      <alignment horizontal="center" vertical="center" wrapText="1"/>
    </xf>
    <xf numFmtId="1" fontId="50" fillId="0" borderId="6" xfId="0" applyNumberFormat="1" applyFont="1" applyBorder="1" applyAlignment="1">
      <alignment horizontal="center" vertical="center"/>
    </xf>
    <xf numFmtId="2" fontId="50" fillId="0" borderId="6" xfId="0" applyNumberFormat="1" applyFont="1" applyBorder="1" applyAlignment="1">
      <alignment horizontal="center" vertical="center"/>
    </xf>
    <xf numFmtId="0" fontId="35" fillId="6" borderId="22" xfId="0" applyFont="1" applyFill="1" applyBorder="1" applyAlignment="1">
      <alignment horizontal="center" vertical="center"/>
    </xf>
    <xf numFmtId="2" fontId="50" fillId="0" borderId="22" xfId="0" applyNumberFormat="1" applyFont="1" applyBorder="1" applyAlignment="1">
      <alignment horizontal="center" vertical="center"/>
    </xf>
    <xf numFmtId="2" fontId="50" fillId="0" borderId="8" xfId="0" applyNumberFormat="1" applyFont="1" applyBorder="1" applyAlignment="1">
      <alignment horizontal="center" vertical="center"/>
    </xf>
    <xf numFmtId="2" fontId="50" fillId="0" borderId="6" xfId="0" applyNumberFormat="1" applyFont="1" applyBorder="1" applyAlignment="1">
      <alignment horizontal="center" vertical="center" wrapText="1"/>
    </xf>
    <xf numFmtId="2" fontId="58" fillId="0" borderId="22" xfId="0" applyNumberFormat="1" applyFont="1" applyBorder="1" applyAlignment="1">
      <alignment horizontal="center" vertical="center"/>
    </xf>
    <xf numFmtId="2" fontId="58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0" fillId="4" borderId="18" xfId="2" applyBorder="1" applyAlignment="1">
      <alignment horizontal="center"/>
    </xf>
    <xf numFmtId="0" fontId="54" fillId="4" borderId="18" xfId="2" applyFont="1" applyBorder="1"/>
    <xf numFmtId="0" fontId="54" fillId="4" borderId="27" xfId="2" applyFont="1" applyBorder="1"/>
    <xf numFmtId="0" fontId="20" fillId="4" borderId="18" xfId="2" applyBorder="1"/>
    <xf numFmtId="165" fontId="52" fillId="7" borderId="18" xfId="3" applyNumberFormat="1" applyBorder="1"/>
    <xf numFmtId="0" fontId="59" fillId="0" borderId="0" xfId="0" applyFont="1" applyAlignment="1">
      <alignment vertical="center"/>
    </xf>
    <xf numFmtId="0" fontId="37" fillId="0" borderId="0" xfId="0" applyFont="1"/>
    <xf numFmtId="0" fontId="1" fillId="2" borderId="4" xfId="0" applyFont="1" applyFill="1" applyBorder="1" applyAlignment="1">
      <alignment horizontal="center"/>
    </xf>
    <xf numFmtId="166" fontId="1" fillId="2" borderId="6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6" fillId="0" borderId="0" xfId="0" applyFont="1" applyAlignment="1">
      <alignment horizontal="center" vertical="top"/>
    </xf>
    <xf numFmtId="0" fontId="38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8" fillId="0" borderId="0" xfId="0" applyFont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13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/>
    </xf>
    <xf numFmtId="2" fontId="17" fillId="0" borderId="2" xfId="0" applyNumberFormat="1" applyFont="1" applyBorder="1" applyAlignment="1">
      <alignment horizontal="center" vertical="center" wrapText="1"/>
    </xf>
    <xf numFmtId="2" fontId="13" fillId="0" borderId="2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wrapText="1"/>
    </xf>
    <xf numFmtId="0" fontId="28" fillId="0" borderId="12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22" fillId="0" borderId="2" xfId="2" applyFont="1" applyFill="1" applyBorder="1" applyAlignment="1">
      <alignment horizontal="center" vertical="center"/>
    </xf>
    <xf numFmtId="0" fontId="22" fillId="0" borderId="6" xfId="2" applyFont="1" applyFill="1" applyBorder="1" applyAlignment="1">
      <alignment horizontal="center" vertical="center"/>
    </xf>
    <xf numFmtId="0" fontId="22" fillId="0" borderId="22" xfId="2" applyFont="1" applyFill="1" applyBorder="1" applyAlignment="1">
      <alignment horizontal="center" vertical="center"/>
    </xf>
    <xf numFmtId="0" fontId="22" fillId="0" borderId="8" xfId="2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9" fillId="0" borderId="2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3" fillId="0" borderId="7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22" fillId="0" borderId="22" xfId="2" quotePrefix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top" wrapText="1"/>
    </xf>
    <xf numFmtId="0" fontId="2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9" fillId="0" borderId="0" xfId="1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14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20" fillId="0" borderId="13" xfId="2" applyFill="1" applyAlignment="1">
      <alignment horizontal="center"/>
    </xf>
    <xf numFmtId="0" fontId="20" fillId="0" borderId="13" xfId="2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33" fillId="0" borderId="0" xfId="0" applyFont="1" applyAlignment="1">
      <alignment horizontal="center" vertical="center"/>
    </xf>
    <xf numFmtId="0" fontId="35" fillId="6" borderId="2" xfId="0" applyFont="1" applyFill="1" applyBorder="1" applyAlignment="1">
      <alignment horizontal="left" vertical="center" wrapText="1"/>
    </xf>
    <xf numFmtId="0" fontId="34" fillId="6" borderId="2" xfId="0" applyFont="1" applyFill="1" applyBorder="1" applyAlignment="1">
      <alignment horizontal="center" vertical="center" wrapText="1"/>
    </xf>
    <xf numFmtId="0" fontId="34" fillId="5" borderId="2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43" fillId="5" borderId="0" xfId="0" applyFont="1" applyFill="1" applyAlignment="1">
      <alignment horizontal="center"/>
    </xf>
    <xf numFmtId="0" fontId="47" fillId="0" borderId="0" xfId="0" applyFont="1" applyAlignment="1">
      <alignment horizontal="center" wrapText="1"/>
    </xf>
    <xf numFmtId="0" fontId="47" fillId="0" borderId="0" xfId="0" applyFont="1" applyAlignment="1">
      <alignment horizontal="center"/>
    </xf>
    <xf numFmtId="0" fontId="32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0" fillId="0" borderId="12" xfId="0" applyBorder="1" applyAlignment="1">
      <alignment horizont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 vertical="top"/>
    </xf>
    <xf numFmtId="0" fontId="36" fillId="0" borderId="0" xfId="0" applyFont="1" applyAlignment="1">
      <alignment horizontal="center" vertical="top"/>
    </xf>
    <xf numFmtId="0" fontId="38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8" fillId="0" borderId="0" xfId="0" applyFont="1" applyAlignment="1">
      <alignment horizontal="center"/>
    </xf>
    <xf numFmtId="0" fontId="57" fillId="6" borderId="5" xfId="0" applyFont="1" applyFill="1" applyBorder="1" applyAlignment="1">
      <alignment horizontal="left" vertical="center" wrapText="1"/>
    </xf>
    <xf numFmtId="0" fontId="57" fillId="6" borderId="2" xfId="0" applyFont="1" applyFill="1" applyBorder="1" applyAlignment="1">
      <alignment horizontal="left" vertical="center" wrapText="1"/>
    </xf>
    <xf numFmtId="0" fontId="57" fillId="6" borderId="7" xfId="0" applyFont="1" applyFill="1" applyBorder="1" applyAlignment="1">
      <alignment horizontal="left" vertical="center" wrapText="1"/>
    </xf>
    <xf numFmtId="0" fontId="57" fillId="6" borderId="22" xfId="0" applyFont="1" applyFill="1" applyBorder="1" applyAlignment="1">
      <alignment horizontal="left" vertical="center" wrapText="1"/>
    </xf>
    <xf numFmtId="0" fontId="56" fillId="6" borderId="5" xfId="0" applyFont="1" applyFill="1" applyBorder="1" applyAlignment="1">
      <alignment horizontal="center" vertical="center" wrapText="1"/>
    </xf>
    <xf numFmtId="0" fontId="56" fillId="6" borderId="2" xfId="0" applyFont="1" applyFill="1" applyBorder="1" applyAlignment="1">
      <alignment horizontal="center" vertical="center" wrapText="1"/>
    </xf>
    <xf numFmtId="0" fontId="57" fillId="6" borderId="9" xfId="0" applyFont="1" applyFill="1" applyBorder="1" applyAlignment="1">
      <alignment horizontal="left" vertical="center" wrapText="1"/>
    </xf>
    <xf numFmtId="0" fontId="57" fillId="6" borderId="15" xfId="0" applyFont="1" applyFill="1" applyBorder="1" applyAlignment="1">
      <alignment horizontal="left" vertical="center" wrapText="1"/>
    </xf>
    <xf numFmtId="0" fontId="56" fillId="5" borderId="19" xfId="0" applyFont="1" applyFill="1" applyBorder="1" applyAlignment="1">
      <alignment horizontal="center" vertical="center" wrapText="1"/>
    </xf>
    <xf numFmtId="0" fontId="56" fillId="5" borderId="20" xfId="0" applyFont="1" applyFill="1" applyBorder="1" applyAlignment="1">
      <alignment horizontal="center" vertical="center" wrapText="1"/>
    </xf>
    <xf numFmtId="0" fontId="56" fillId="5" borderId="21" xfId="0" applyFont="1" applyFill="1" applyBorder="1" applyAlignment="1">
      <alignment horizontal="center" vertical="center" wrapText="1"/>
    </xf>
    <xf numFmtId="0" fontId="56" fillId="5" borderId="19" xfId="0" applyFont="1" applyFill="1" applyBorder="1" applyAlignment="1">
      <alignment horizontal="center" vertical="center"/>
    </xf>
    <xf numFmtId="0" fontId="56" fillId="5" borderId="20" xfId="0" applyFont="1" applyFill="1" applyBorder="1" applyAlignment="1">
      <alignment horizontal="center" vertical="center"/>
    </xf>
    <xf numFmtId="0" fontId="56" fillId="5" borderId="21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top"/>
    </xf>
    <xf numFmtId="0" fontId="54" fillId="4" borderId="2" xfId="2" applyFont="1" applyBorder="1" applyAlignment="1">
      <alignment horizontal="center" vertical="top"/>
    </xf>
    <xf numFmtId="0" fontId="54" fillId="4" borderId="2" xfId="2" applyFont="1" applyBorder="1" applyAlignment="1">
      <alignment horizontal="center" vertical="center"/>
    </xf>
    <xf numFmtId="0" fontId="54" fillId="4" borderId="2" xfId="2" applyFont="1" applyBorder="1" applyAlignment="1">
      <alignment horizontal="center"/>
    </xf>
    <xf numFmtId="1" fontId="54" fillId="4" borderId="2" xfId="2" applyNumberFormat="1" applyFont="1" applyBorder="1" applyAlignment="1">
      <alignment horizontal="center"/>
    </xf>
    <xf numFmtId="0" fontId="20" fillId="4" borderId="2" xfId="2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4">
    <cellStyle name="Calculation" xfId="3" builtinId="22"/>
    <cellStyle name="Input" xfId="2" builtinId="20"/>
    <cellStyle name="Normal" xfId="0" builtinId="0"/>
    <cellStyle name="Normal_Book1" xfId="1" xr:uid="{EA81152C-E38F-47A8-A75A-8258BC0C4D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Calculation!$H$51:$H$57</c:f>
              <c:numCache>
                <c:formatCode>General</c:formatCode>
                <c:ptCount val="7"/>
              </c:numCache>
            </c:numRef>
          </c:xVal>
          <c:yVal>
            <c:numRef>
              <c:f>Calculation!#REF!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52-4E5A-A791-67D6C6C28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Công suất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Calculation!$H$51:$H$57</c:f>
              <c:numCache>
                <c:formatCode>General</c:formatCode>
                <c:ptCount val="7"/>
              </c:numCache>
            </c:numRef>
          </c:xVal>
          <c:yVal>
            <c:numRef>
              <c:f>Calculation!#REF!</c:f>
              <c:numCache>
                <c:formatCode>0.00</c:formatCode>
                <c:ptCount val="7"/>
                <c:pt idx="0">
                  <c:v>57.525524467416574</c:v>
                </c:pt>
                <c:pt idx="1">
                  <c:v>56.604748643260777</c:v>
                </c:pt>
                <c:pt idx="2">
                  <c:v>50.985129827530137</c:v>
                </c:pt>
                <c:pt idx="3">
                  <c:v>48.337950997908038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4A-4CC8-B26F-8C451939C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Hiệu suất tĩnh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Calculation!$H$51:$H$57</c:f>
              <c:numCache>
                <c:formatCode>General</c:formatCode>
                <c:ptCount val="7"/>
              </c:numCache>
            </c:numRef>
          </c:xVal>
          <c:yVal>
            <c:numRef>
              <c:f>Calculation!$G$112:$G$114</c:f>
              <c:numCache>
                <c:formatCode>General</c:formatCode>
                <c:ptCount val="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BC-4CAC-A893-FEFC02865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Áp suất tĩnh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'Design Condition'!$D$20:$M$20</c:f>
              <c:numCache>
                <c:formatCode>0</c:formatCode>
                <c:ptCount val="10"/>
              </c:numCache>
            </c:numRef>
          </c:xVal>
          <c:yVal>
            <c:numRef>
              <c:f>'Design Condition'!$D$24:$M$24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CC-419B-946C-816C30428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Hiệu suất tĩnh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'Design Condition'!$D$20:$M$20</c:f>
              <c:numCache>
                <c:formatCode>0</c:formatCode>
                <c:ptCount val="10"/>
              </c:numCache>
            </c:numRef>
          </c:xVal>
          <c:yVal>
            <c:numRef>
              <c:f>'Design Condition'!$D$21:$M$21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3C-4D9E-B017-7D964861E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Áp suất tĩnh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'Design Condition'!$D$20:$M$20</c:f>
              <c:numCache>
                <c:formatCode>0</c:formatCode>
                <c:ptCount val="10"/>
              </c:numCache>
            </c:numRef>
          </c:xVal>
          <c:yVal>
            <c:numRef>
              <c:f>'Design Condition'!$D$23:$M$23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46-487C-A5AC-68620E8DE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Công suất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'Normalized Condition'!$D$20:$M$20</c:f>
              <c:numCache>
                <c:formatCode>0</c:formatCode>
                <c:ptCount val="10"/>
              </c:numCache>
            </c:numRef>
          </c:xVal>
          <c:yVal>
            <c:numRef>
              <c:f>'Normalized Condition'!$D$23:$M$23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42-4F89-AD72-60B4862CD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Công suất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'Normalized Condition'!$D$20:$M$20</c:f>
              <c:numCache>
                <c:formatCode>0</c:formatCode>
                <c:ptCount val="10"/>
              </c:numCache>
            </c:numRef>
          </c:xVal>
          <c:yVal>
            <c:numRef>
              <c:f>'Normalized Condition'!$D$24:$M$24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FF-478F-B507-681AB4A2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Hiệu suất tĩnh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'Normalized Condition'!$D$20:$M$20</c:f>
              <c:numCache>
                <c:formatCode>0</c:formatCode>
                <c:ptCount val="10"/>
              </c:numCache>
            </c:numRef>
          </c:xVal>
          <c:yVal>
            <c:numRef>
              <c:f>'Normalized Condition'!$D$21:$M$21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39-4A6D-B11B-07B321588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Áp suất tĩnh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'Operating Condition'!$D$20:$M$20</c:f>
              <c:numCache>
                <c:formatCode>0</c:formatCode>
                <c:ptCount val="10"/>
              </c:numCache>
            </c:numRef>
          </c:xVal>
          <c:yVal>
            <c:numRef>
              <c:f>'Operating Condition'!$D$23:$M$23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05-4685-9B5F-92EFC154E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Công suất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'Operating Condition'!$D$20:$M$20</c:f>
              <c:numCache>
                <c:formatCode>0</c:formatCode>
                <c:ptCount val="10"/>
              </c:numCache>
            </c:numRef>
          </c:xVal>
          <c:yVal>
            <c:numRef>
              <c:f>'Operating Condition'!$D$24:$M$24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CA-4387-A8A6-10340C435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Hiệu suất tĩnh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'Operating Condition'!$D$20:$M$20</c:f>
              <c:numCache>
                <c:formatCode>0</c:formatCode>
                <c:ptCount val="10"/>
              </c:numCache>
            </c:numRef>
          </c:xVal>
          <c:yVal>
            <c:numRef>
              <c:f>'Operating Condition'!$D$21:$M$21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10-4D7C-83FE-EBBC53B5F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Áp suất tĩnh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Điều kiện tiêu chuẩn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Full!$D$25:$M$25</c:f>
              <c:numCache>
                <c:formatCode>0</c:formatCode>
                <c:ptCount val="10"/>
              </c:numCache>
            </c:numRef>
          </c:xVal>
          <c:yVal>
            <c:numRef>
              <c:f>Full!$D$27:$M$27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D6-4692-B72E-357E135EA79E}"/>
            </c:ext>
          </c:extLst>
        </c:ser>
        <c:ser>
          <c:idx val="1"/>
          <c:order val="1"/>
          <c:tx>
            <c:v>Điệu kiện làm việc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Full!$D$30:$M$30</c:f>
              <c:numCache>
                <c:formatCode>0</c:formatCode>
                <c:ptCount val="10"/>
              </c:numCache>
            </c:numRef>
          </c:xVal>
          <c:yVal>
            <c:numRef>
              <c:f>Full!$D$32:$M$32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D6-4692-B72E-357E135EA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lượng (m3/h)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Công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suất (kW)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Điều kiện tiêu chuẩn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Full!$D$25:$M$25</c:f>
              <c:numCache>
                <c:formatCode>0</c:formatCode>
                <c:ptCount val="10"/>
              </c:numCache>
            </c:numRef>
          </c:xVal>
          <c:yVal>
            <c:numRef>
              <c:f>Full!$D$28:$M$28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7C-4974-9293-A3161D8D15E8}"/>
            </c:ext>
          </c:extLst>
        </c:ser>
        <c:ser>
          <c:idx val="1"/>
          <c:order val="1"/>
          <c:tx>
            <c:v>Điều kiện làm việc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Full!$D$30:$M$30</c:f>
              <c:numCache>
                <c:formatCode>0</c:formatCode>
                <c:ptCount val="10"/>
              </c:numCache>
            </c:numRef>
          </c:xVal>
          <c:yVal>
            <c:numRef>
              <c:f>Full!$D$33:$M$33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7C-4974-9293-A3161D8D1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lượng (m3/h)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Hiệu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suất tĩnh (%)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Điều kiện tiêu chuẩn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Full!$D$25:$M$25</c:f>
              <c:numCache>
                <c:formatCode>0</c:formatCode>
                <c:ptCount val="10"/>
              </c:numCache>
            </c:numRef>
          </c:xVal>
          <c:yVal>
            <c:numRef>
              <c:f>Full!$D$26:$M$26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50-4A3A-BE7E-1B532D3DEFC6}"/>
            </c:ext>
          </c:extLst>
        </c:ser>
        <c:ser>
          <c:idx val="1"/>
          <c:order val="1"/>
          <c:tx>
            <c:v>Điều kiện làm việc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Full!$D$30:$M$30</c:f>
              <c:numCache>
                <c:formatCode>0</c:formatCode>
                <c:ptCount val="10"/>
              </c:numCache>
            </c:numRef>
          </c:xVal>
          <c:yVal>
            <c:numRef>
              <c:f>Full!$D$31:$M$31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50-4A3A-BE7E-1B532D3DE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4.png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4.png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4.png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6</xdr:col>
      <xdr:colOff>333375</xdr:colOff>
      <xdr:row>2</xdr:row>
      <xdr:rowOff>247199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16F17B06-CF7A-45E6-97ED-7B8276027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6086475" cy="7234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419100</xdr:colOff>
      <xdr:row>4</xdr:row>
      <xdr:rowOff>145175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BEA186-C781-4128-83A6-8F9D98BA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98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60</xdr:row>
      <xdr:rowOff>152400</xdr:rowOff>
    </xdr:from>
    <xdr:to>
      <xdr:col>8</xdr:col>
      <xdr:colOff>647700</xdr:colOff>
      <xdr:row>70</xdr:row>
      <xdr:rowOff>169706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BED8FF-E10F-44BF-913A-42DB3186A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325" y="14620875"/>
          <a:ext cx="5038725" cy="2112807"/>
        </a:xfrm>
        <a:prstGeom prst="rect">
          <a:avLst/>
        </a:prstGeom>
      </xdr:spPr>
    </xdr:pic>
    <xdr:clientData/>
  </xdr:twoCellAnchor>
  <xdr:twoCellAnchor>
    <xdr:from>
      <xdr:col>1</xdr:col>
      <xdr:colOff>623887</xdr:colOff>
      <xdr:row>141</xdr:row>
      <xdr:rowOff>171450</xdr:rowOff>
    </xdr:from>
    <xdr:to>
      <xdr:col>8</xdr:col>
      <xdr:colOff>490537</xdr:colOff>
      <xdr:row>154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08E53-98CE-43BD-AAF4-08DACF9D9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609600</xdr:colOff>
      <xdr:row>155</xdr:row>
      <xdr:rowOff>28575</xdr:rowOff>
    </xdr:from>
    <xdr:to>
      <xdr:col>8</xdr:col>
      <xdr:colOff>476250</xdr:colOff>
      <xdr:row>168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79521A-9766-4E8E-B966-8BD680D25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590550</xdr:colOff>
      <xdr:row>168</xdr:row>
      <xdr:rowOff>57150</xdr:rowOff>
    </xdr:from>
    <xdr:to>
      <xdr:col>8</xdr:col>
      <xdr:colOff>457200</xdr:colOff>
      <xdr:row>181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8C8795-1833-4BDB-8686-5BD5CD235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386181</xdr:colOff>
      <xdr:row>3</xdr:row>
      <xdr:rowOff>180975</xdr:rowOff>
    </xdr:to>
    <xdr:pic>
      <xdr:nvPicPr>
        <xdr:cNvPr id="7" name="Logo">
          <a:extLst>
            <a:ext uri="{FF2B5EF4-FFF2-40B4-BE49-F238E27FC236}">
              <a16:creationId xmlns:a16="http://schemas.microsoft.com/office/drawing/2014/main" id="{5061D2D2-CFF8-494D-AB90-2600C865B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07068" cy="752475"/>
        </a:xfrm>
        <a:prstGeom prst="rect">
          <a:avLst/>
        </a:prstGeom>
      </xdr:spPr>
    </xdr:pic>
    <xdr:clientData/>
  </xdr:twoCellAnchor>
  <xdr:twoCellAnchor>
    <xdr:from>
      <xdr:col>1</xdr:col>
      <xdr:colOff>673345</xdr:colOff>
      <xdr:row>44</xdr:row>
      <xdr:rowOff>161191</xdr:rowOff>
    </xdr:from>
    <xdr:to>
      <xdr:col>10</xdr:col>
      <xdr:colOff>356820</xdr:colOff>
      <xdr:row>58</xdr:row>
      <xdr:rowOff>30772</xdr:rowOff>
    </xdr:to>
    <xdr:graphicFrame macro="">
      <xdr:nvGraphicFramePr>
        <xdr:cNvPr id="3" name="Efficiency">
          <a:extLst>
            <a:ext uri="{FF2B5EF4-FFF2-40B4-BE49-F238E27FC236}">
              <a16:creationId xmlns:a16="http://schemas.microsoft.com/office/drawing/2014/main" id="{96C31383-F288-4502-B23C-889414505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533400</xdr:colOff>
      <xdr:row>57</xdr:row>
      <xdr:rowOff>57877</xdr:rowOff>
    </xdr:from>
    <xdr:to>
      <xdr:col>10</xdr:col>
      <xdr:colOff>372207</xdr:colOff>
      <xdr:row>70</xdr:row>
      <xdr:rowOff>21411</xdr:rowOff>
    </xdr:to>
    <xdr:graphicFrame macro="">
      <xdr:nvGraphicFramePr>
        <xdr:cNvPr id="4" name="Pressure">
          <a:extLst>
            <a:ext uri="{FF2B5EF4-FFF2-40B4-BE49-F238E27FC236}">
              <a16:creationId xmlns:a16="http://schemas.microsoft.com/office/drawing/2014/main" id="{00089D2A-D014-4C35-9136-48DCEB64921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672609</xdr:colOff>
      <xdr:row>32</xdr:row>
      <xdr:rowOff>28575</xdr:rowOff>
    </xdr:from>
    <xdr:to>
      <xdr:col>10</xdr:col>
      <xdr:colOff>346559</xdr:colOff>
      <xdr:row>45</xdr:row>
      <xdr:rowOff>49821</xdr:rowOff>
    </xdr:to>
    <xdr:graphicFrame macro="">
      <xdr:nvGraphicFramePr>
        <xdr:cNvPr id="5" name="Power">
          <a:extLst>
            <a:ext uri="{FF2B5EF4-FFF2-40B4-BE49-F238E27FC236}">
              <a16:creationId xmlns:a16="http://schemas.microsoft.com/office/drawing/2014/main" id="{18A5CF9A-CEF9-40FD-BD09-6A376347C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392043</xdr:colOff>
      <xdr:row>3</xdr:row>
      <xdr:rowOff>180975</xdr:rowOff>
    </xdr:to>
    <xdr:pic>
      <xdr:nvPicPr>
        <xdr:cNvPr id="5" name="Logo">
          <a:extLst>
            <a:ext uri="{FF2B5EF4-FFF2-40B4-BE49-F238E27FC236}">
              <a16:creationId xmlns:a16="http://schemas.microsoft.com/office/drawing/2014/main" id="{542532AA-AFFA-4EB6-BA62-187E8D670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07068" cy="752475"/>
        </a:xfrm>
        <a:prstGeom prst="rect">
          <a:avLst/>
        </a:prstGeom>
      </xdr:spPr>
    </xdr:pic>
    <xdr:clientData/>
  </xdr:twoCellAnchor>
  <xdr:twoCellAnchor>
    <xdr:from>
      <xdr:col>2</xdr:col>
      <xdr:colOff>6406</xdr:colOff>
      <xdr:row>34</xdr:row>
      <xdr:rowOff>16565</xdr:rowOff>
    </xdr:from>
    <xdr:to>
      <xdr:col>10</xdr:col>
      <xdr:colOff>367812</xdr:colOff>
      <xdr:row>47</xdr:row>
      <xdr:rowOff>37811</xdr:rowOff>
    </xdr:to>
    <xdr:graphicFrame macro="">
      <xdr:nvGraphicFramePr>
        <xdr:cNvPr id="3" name="Power">
          <a:extLst>
            <a:ext uri="{FF2B5EF4-FFF2-40B4-BE49-F238E27FC236}">
              <a16:creationId xmlns:a16="http://schemas.microsoft.com/office/drawing/2014/main" id="{970160A8-9EFD-4E5E-B9A7-521E6CAE9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6407</xdr:colOff>
      <xdr:row>46</xdr:row>
      <xdr:rowOff>101554</xdr:rowOff>
    </xdr:from>
    <xdr:to>
      <xdr:col>10</xdr:col>
      <xdr:colOff>377338</xdr:colOff>
      <xdr:row>59</xdr:row>
      <xdr:rowOff>169918</xdr:rowOff>
    </xdr:to>
    <xdr:graphicFrame macro="">
      <xdr:nvGraphicFramePr>
        <xdr:cNvPr id="4" name="Efficiency">
          <a:extLst>
            <a:ext uri="{FF2B5EF4-FFF2-40B4-BE49-F238E27FC236}">
              <a16:creationId xmlns:a16="http://schemas.microsoft.com/office/drawing/2014/main" id="{77D3112E-6FB7-4E3D-85F0-BB32CDA26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571500</xdr:colOff>
      <xdr:row>58</xdr:row>
      <xdr:rowOff>197023</xdr:rowOff>
    </xdr:from>
    <xdr:to>
      <xdr:col>10</xdr:col>
      <xdr:colOff>392724</xdr:colOff>
      <xdr:row>71</xdr:row>
      <xdr:rowOff>160557</xdr:rowOff>
    </xdr:to>
    <xdr:graphicFrame macro="">
      <xdr:nvGraphicFramePr>
        <xdr:cNvPr id="6" name="Pressure">
          <a:extLst>
            <a:ext uri="{FF2B5EF4-FFF2-40B4-BE49-F238E27FC236}">
              <a16:creationId xmlns:a16="http://schemas.microsoft.com/office/drawing/2014/main" id="{785951B5-866D-46A1-B67C-8D4CEA4FDE3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392043</xdr:colOff>
      <xdr:row>3</xdr:row>
      <xdr:rowOff>180975</xdr:rowOff>
    </xdr:to>
    <xdr:pic>
      <xdr:nvPicPr>
        <xdr:cNvPr id="5" name="Logo">
          <a:extLst>
            <a:ext uri="{FF2B5EF4-FFF2-40B4-BE49-F238E27FC236}">
              <a16:creationId xmlns:a16="http://schemas.microsoft.com/office/drawing/2014/main" id="{89F28FF8-222A-4954-9754-0FC64EFAB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07068" cy="752475"/>
        </a:xfrm>
        <a:prstGeom prst="rect">
          <a:avLst/>
        </a:prstGeom>
      </xdr:spPr>
    </xdr:pic>
    <xdr:clientData/>
  </xdr:twoCellAnchor>
  <xdr:twoCellAnchor>
    <xdr:from>
      <xdr:col>1</xdr:col>
      <xdr:colOff>685579</xdr:colOff>
      <xdr:row>32</xdr:row>
      <xdr:rowOff>49696</xdr:rowOff>
    </xdr:from>
    <xdr:to>
      <xdr:col>10</xdr:col>
      <xdr:colOff>359529</xdr:colOff>
      <xdr:row>45</xdr:row>
      <xdr:rowOff>70942</xdr:rowOff>
    </xdr:to>
    <xdr:graphicFrame macro="">
      <xdr:nvGraphicFramePr>
        <xdr:cNvPr id="3" name="Power">
          <a:extLst>
            <a:ext uri="{FF2B5EF4-FFF2-40B4-BE49-F238E27FC236}">
              <a16:creationId xmlns:a16="http://schemas.microsoft.com/office/drawing/2014/main" id="{A8B21114-9C50-42B8-AE2F-3A2F2D668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685580</xdr:colOff>
      <xdr:row>44</xdr:row>
      <xdr:rowOff>134685</xdr:rowOff>
    </xdr:from>
    <xdr:to>
      <xdr:col>10</xdr:col>
      <xdr:colOff>369055</xdr:colOff>
      <xdr:row>58</xdr:row>
      <xdr:rowOff>4266</xdr:rowOff>
    </xdr:to>
    <xdr:graphicFrame macro="">
      <xdr:nvGraphicFramePr>
        <xdr:cNvPr id="4" name="Efficiency">
          <a:extLst>
            <a:ext uri="{FF2B5EF4-FFF2-40B4-BE49-F238E27FC236}">
              <a16:creationId xmlns:a16="http://schemas.microsoft.com/office/drawing/2014/main" id="{548CD2A2-8FE0-4DC5-A266-B2FAA4DBB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563217</xdr:colOff>
      <xdr:row>57</xdr:row>
      <xdr:rowOff>31371</xdr:rowOff>
    </xdr:from>
    <xdr:to>
      <xdr:col>10</xdr:col>
      <xdr:colOff>384441</xdr:colOff>
      <xdr:row>69</xdr:row>
      <xdr:rowOff>193688</xdr:rowOff>
    </xdr:to>
    <xdr:graphicFrame macro="">
      <xdr:nvGraphicFramePr>
        <xdr:cNvPr id="6" name="Pressure">
          <a:extLst>
            <a:ext uri="{FF2B5EF4-FFF2-40B4-BE49-F238E27FC236}">
              <a16:creationId xmlns:a16="http://schemas.microsoft.com/office/drawing/2014/main" id="{0D7A70B1-DB16-41ED-8C06-C2A14FC8AC8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35</xdr:row>
      <xdr:rowOff>19050</xdr:rowOff>
    </xdr:from>
    <xdr:to>
      <xdr:col>9</xdr:col>
      <xdr:colOff>372208</xdr:colOff>
      <xdr:row>46</xdr:row>
      <xdr:rowOff>37514</xdr:rowOff>
    </xdr:to>
    <xdr:graphicFrame macro="">
      <xdr:nvGraphicFramePr>
        <xdr:cNvPr id="4" name="Power">
          <a:extLst>
            <a:ext uri="{FF2B5EF4-FFF2-40B4-BE49-F238E27FC236}">
              <a16:creationId xmlns:a16="http://schemas.microsoft.com/office/drawing/2014/main" id="{294F3556-27BB-4AB6-A477-58554EC26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46</xdr:row>
      <xdr:rowOff>161190</xdr:rowOff>
    </xdr:from>
    <xdr:to>
      <xdr:col>9</xdr:col>
      <xdr:colOff>372208</xdr:colOff>
      <xdr:row>57</xdr:row>
      <xdr:rowOff>179654</xdr:rowOff>
    </xdr:to>
    <xdr:graphicFrame macro="">
      <xdr:nvGraphicFramePr>
        <xdr:cNvPr id="5" name="Efficiency">
          <a:extLst>
            <a:ext uri="{FF2B5EF4-FFF2-40B4-BE49-F238E27FC236}">
              <a16:creationId xmlns:a16="http://schemas.microsoft.com/office/drawing/2014/main" id="{71BEC3F0-CE12-4BF4-A3F6-1CA353688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2196</xdr:colOff>
      <xdr:row>58</xdr:row>
      <xdr:rowOff>130413</xdr:rowOff>
    </xdr:from>
    <xdr:to>
      <xdr:col>9</xdr:col>
      <xdr:colOff>374404</xdr:colOff>
      <xdr:row>69</xdr:row>
      <xdr:rowOff>148876</xdr:rowOff>
    </xdr:to>
    <xdr:graphicFrame macro="">
      <xdr:nvGraphicFramePr>
        <xdr:cNvPr id="6" name="Pressure">
          <a:extLst>
            <a:ext uri="{FF2B5EF4-FFF2-40B4-BE49-F238E27FC236}">
              <a16:creationId xmlns:a16="http://schemas.microsoft.com/office/drawing/2014/main" id="{2FBC267C-7D71-4D44-912F-F887C805220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92626</xdr:colOff>
      <xdr:row>3</xdr:row>
      <xdr:rowOff>180975</xdr:rowOff>
    </xdr:to>
    <xdr:pic>
      <xdr:nvPicPr>
        <xdr:cNvPr id="7" name="Logo">
          <a:extLst>
            <a:ext uri="{FF2B5EF4-FFF2-40B4-BE49-F238E27FC236}">
              <a16:creationId xmlns:a16="http://schemas.microsoft.com/office/drawing/2014/main" id="{79C4B811-4D9F-4AAC-BFB9-861653439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30673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5C83-83DD-4037-962D-FD09BD2A38B4}">
  <sheetPr codeName="Sheet2"/>
  <dimension ref="B1:G22"/>
  <sheetViews>
    <sheetView showGridLines="0" zoomScale="85" zoomScaleNormal="85" workbookViewId="0">
      <selection activeCell="B17" sqref="B17"/>
    </sheetView>
  </sheetViews>
  <sheetFormatPr defaultRowHeight="15.6"/>
  <cols>
    <col min="2" max="2" width="40.59765625" customWidth="1"/>
    <col min="3" max="3" width="17.59765625" customWidth="1"/>
  </cols>
  <sheetData>
    <row r="1" spans="2:7" ht="16.2" thickBot="1"/>
    <row r="2" spans="2:7" ht="30.75" customHeight="1">
      <c r="B2" s="124" t="s">
        <v>32</v>
      </c>
      <c r="C2" s="125"/>
      <c r="D2" s="1"/>
      <c r="E2" s="1"/>
      <c r="F2" s="1"/>
      <c r="G2" s="1"/>
    </row>
    <row r="3" spans="2:7">
      <c r="B3" s="126"/>
      <c r="C3" s="127"/>
    </row>
    <row r="4" spans="2:7">
      <c r="B4" s="130" t="s">
        <v>33</v>
      </c>
      <c r="C4" s="131"/>
    </row>
    <row r="5" spans="2:7">
      <c r="B5" s="4" t="s">
        <v>3</v>
      </c>
      <c r="C5" s="2"/>
    </row>
    <row r="6" spans="2:7">
      <c r="B6" s="4" t="s">
        <v>0</v>
      </c>
      <c r="C6" s="2"/>
    </row>
    <row r="7" spans="2:7">
      <c r="B7" s="4" t="s">
        <v>4</v>
      </c>
      <c r="C7" s="2"/>
    </row>
    <row r="8" spans="2:7">
      <c r="B8" s="128" t="s">
        <v>34</v>
      </c>
      <c r="C8" s="129"/>
    </row>
    <row r="9" spans="2:7">
      <c r="B9" s="4" t="s">
        <v>19</v>
      </c>
      <c r="C9" s="2"/>
    </row>
    <row r="10" spans="2:7">
      <c r="B10" s="4" t="s">
        <v>22</v>
      </c>
      <c r="C10" s="2"/>
    </row>
    <row r="11" spans="2:7">
      <c r="B11" s="4" t="s">
        <v>20</v>
      </c>
      <c r="C11" s="2"/>
    </row>
    <row r="12" spans="2:7">
      <c r="B12" s="4" t="s">
        <v>21</v>
      </c>
      <c r="C12" s="2"/>
    </row>
    <row r="13" spans="2:7">
      <c r="B13" s="128" t="s">
        <v>35</v>
      </c>
      <c r="C13" s="129"/>
    </row>
    <row r="14" spans="2:7">
      <c r="B14" s="4" t="s">
        <v>23</v>
      </c>
      <c r="C14" s="2"/>
    </row>
    <row r="15" spans="2:7">
      <c r="B15" s="4" t="s">
        <v>24</v>
      </c>
      <c r="C15" s="2"/>
    </row>
    <row r="16" spans="2:7">
      <c r="B16" s="4" t="s">
        <v>25</v>
      </c>
      <c r="C16" s="2"/>
    </row>
    <row r="17" spans="2:3">
      <c r="B17" s="4" t="s">
        <v>26</v>
      </c>
      <c r="C17" s="2"/>
    </row>
    <row r="18" spans="2:3">
      <c r="B18" s="4" t="s">
        <v>27</v>
      </c>
      <c r="C18" s="2"/>
    </row>
    <row r="19" spans="2:3">
      <c r="B19" s="4" t="s">
        <v>28</v>
      </c>
      <c r="C19" s="2"/>
    </row>
    <row r="20" spans="2:3">
      <c r="B20" s="4" t="s">
        <v>29</v>
      </c>
      <c r="C20" s="2"/>
    </row>
    <row r="21" spans="2:3">
      <c r="B21" s="4" t="s">
        <v>30</v>
      </c>
      <c r="C21" s="2"/>
    </row>
    <row r="22" spans="2:3" ht="16.2" thickBot="1">
      <c r="B22" s="5" t="s">
        <v>31</v>
      </c>
      <c r="C22" s="3"/>
    </row>
  </sheetData>
  <mergeCells count="4">
    <mergeCell ref="B2:C3"/>
    <mergeCell ref="B8:C8"/>
    <mergeCell ref="B13:C13"/>
    <mergeCell ref="B4:C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3CD0-9285-4F8D-BC5B-7A58AF23839A}">
  <sheetPr codeName="Sheet1"/>
  <dimension ref="A2:Y132"/>
  <sheetViews>
    <sheetView tabSelected="1" topLeftCell="A65" zoomScaleNormal="100" workbookViewId="0">
      <selection activeCell="C42" sqref="C42"/>
    </sheetView>
  </sheetViews>
  <sheetFormatPr defaultColWidth="9" defaultRowHeight="15.6"/>
  <cols>
    <col min="1" max="1" width="9.8984375" customWidth="1"/>
    <col min="2" max="2" width="23.59765625" customWidth="1"/>
    <col min="3" max="8" width="10.5" customWidth="1"/>
    <col min="9" max="9" width="10.796875" customWidth="1"/>
    <col min="10" max="10" width="10.8984375" bestFit="1" customWidth="1"/>
    <col min="11" max="11" width="9.8984375" bestFit="1" customWidth="1"/>
    <col min="12" max="12" width="10" customWidth="1"/>
    <col min="13" max="13" width="11.8984375" bestFit="1" customWidth="1"/>
    <col min="16" max="16" width="10.8984375" bestFit="1" customWidth="1"/>
    <col min="26" max="26" width="12" customWidth="1"/>
  </cols>
  <sheetData>
    <row r="2" spans="1:8" ht="25.5" customHeight="1">
      <c r="B2" s="1"/>
      <c r="C2" s="1"/>
      <c r="D2" s="1"/>
      <c r="E2" s="1"/>
      <c r="F2" s="1"/>
      <c r="G2" s="1"/>
      <c r="H2" s="1"/>
    </row>
    <row r="3" spans="1:8" ht="25.5" customHeight="1">
      <c r="B3" s="1"/>
      <c r="C3" s="1"/>
      <c r="D3" s="1"/>
      <c r="E3" s="1"/>
      <c r="F3" s="1"/>
      <c r="G3" s="1"/>
      <c r="H3" s="1"/>
    </row>
    <row r="4" spans="1:8">
      <c r="A4" s="132" t="s">
        <v>184</v>
      </c>
      <c r="B4" s="132"/>
      <c r="C4" s="132"/>
      <c r="D4" s="132"/>
      <c r="E4" s="132"/>
      <c r="F4" s="132"/>
      <c r="G4" s="132"/>
      <c r="H4" s="132"/>
    </row>
    <row r="5" spans="1:8">
      <c r="A5" s="70" t="s">
        <v>7</v>
      </c>
    </row>
    <row r="6" spans="1:8">
      <c r="A6" s="70"/>
    </row>
    <row r="7" spans="1:8" ht="16.2" thickBot="1">
      <c r="A7" s="70"/>
    </row>
    <row r="8" spans="1:8" ht="16.2" thickBot="1">
      <c r="A8" s="70"/>
      <c r="G8" s="110"/>
    </row>
    <row r="9" spans="1:8" ht="16.2" thickBot="1">
      <c r="G9" t="s">
        <v>188</v>
      </c>
    </row>
    <row r="10" spans="1:8" ht="16.2" thickBot="1">
      <c r="G10" s="86"/>
    </row>
    <row r="11" spans="1:8">
      <c r="G11" t="s">
        <v>187</v>
      </c>
    </row>
    <row r="15" spans="1:8">
      <c r="A15" s="133" t="s">
        <v>8</v>
      </c>
      <c r="B15" s="133"/>
      <c r="C15" s="133"/>
      <c r="D15" s="133"/>
      <c r="E15" s="133"/>
      <c r="F15" s="133"/>
    </row>
    <row r="17" spans="1:20">
      <c r="A17" s="78" t="s">
        <v>185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</row>
    <row r="18" spans="1:20" ht="24" customHeight="1" thickBot="1">
      <c r="A18" s="134" t="s">
        <v>10</v>
      </c>
      <c r="B18" s="134"/>
      <c r="C18" s="134"/>
      <c r="D18" s="134"/>
      <c r="E18" s="134"/>
      <c r="F18" s="134"/>
      <c r="G18" s="134"/>
      <c r="H18" s="134"/>
      <c r="I18" s="134"/>
    </row>
    <row r="19" spans="1:20" ht="16.2" thickBot="1">
      <c r="A19" t="s">
        <v>130</v>
      </c>
      <c r="D19" s="111"/>
      <c r="E19" t="s">
        <v>208</v>
      </c>
      <c r="H19" s="114"/>
    </row>
    <row r="20" spans="1:20" ht="16.2" thickBot="1">
      <c r="A20" t="s">
        <v>134</v>
      </c>
      <c r="D20" s="111"/>
      <c r="E20" t="s">
        <v>1</v>
      </c>
      <c r="H20" s="111"/>
    </row>
    <row r="21" spans="1:20" ht="16.2" thickBot="1">
      <c r="A21" t="s">
        <v>131</v>
      </c>
      <c r="D21" s="112"/>
      <c r="E21" t="s">
        <v>209</v>
      </c>
      <c r="H21" s="114"/>
    </row>
    <row r="22" spans="1:20" ht="16.8" thickBot="1">
      <c r="A22" s="81" t="s">
        <v>16</v>
      </c>
      <c r="H22" s="80"/>
    </row>
    <row r="23" spans="1:20" ht="16.2" thickBot="1">
      <c r="A23" t="s">
        <v>133</v>
      </c>
      <c r="D23" s="111"/>
      <c r="E23" t="s">
        <v>194</v>
      </c>
      <c r="H23" s="111"/>
    </row>
    <row r="24" spans="1:20" ht="16.2" thickBot="1">
      <c r="A24" t="s">
        <v>17</v>
      </c>
      <c r="D24" s="111"/>
      <c r="E24" t="s">
        <v>195</v>
      </c>
      <c r="H24" s="111"/>
    </row>
    <row r="25" spans="1:20" ht="16.2" thickBot="1">
      <c r="A25" t="s">
        <v>18</v>
      </c>
      <c r="D25" s="111"/>
      <c r="E25" t="s">
        <v>196</v>
      </c>
      <c r="H25" s="111"/>
    </row>
    <row r="26" spans="1:20" ht="16.2" thickBot="1">
      <c r="A26" t="s">
        <v>193</v>
      </c>
      <c r="D26" s="111"/>
      <c r="E26" t="s">
        <v>210</v>
      </c>
      <c r="H26" s="113"/>
    </row>
    <row r="27" spans="1:20" ht="29.25" customHeight="1">
      <c r="A27" s="1" t="s">
        <v>186</v>
      </c>
    </row>
    <row r="28" spans="1:20" ht="25.8" customHeight="1">
      <c r="A28" s="239" t="s">
        <v>2</v>
      </c>
      <c r="B28" s="239"/>
      <c r="C28" s="227">
        <v>1</v>
      </c>
      <c r="D28" s="227">
        <v>2</v>
      </c>
      <c r="E28" s="227">
        <v>3</v>
      </c>
      <c r="F28" s="227">
        <v>4</v>
      </c>
      <c r="G28" s="227">
        <v>5</v>
      </c>
      <c r="H28" s="227">
        <v>6</v>
      </c>
      <c r="I28" s="227">
        <v>7</v>
      </c>
      <c r="J28" s="227">
        <v>8</v>
      </c>
      <c r="K28" s="227">
        <v>9</v>
      </c>
      <c r="L28" s="227">
        <v>10</v>
      </c>
      <c r="T28" s="60"/>
    </row>
    <row r="29" spans="1:20" ht="15.6" customHeight="1">
      <c r="A29" s="236" t="s">
        <v>211</v>
      </c>
      <c r="B29" s="236"/>
      <c r="C29" s="227"/>
      <c r="D29" s="227"/>
      <c r="E29" s="228"/>
      <c r="F29" s="229"/>
      <c r="G29" s="229"/>
      <c r="H29" s="227"/>
      <c r="I29" s="227"/>
      <c r="J29" s="227"/>
      <c r="K29" s="227"/>
      <c r="L29" s="227"/>
    </row>
    <row r="30" spans="1:20" ht="15.6" customHeight="1">
      <c r="A30" s="236" t="s">
        <v>5</v>
      </c>
      <c r="B30" s="236"/>
      <c r="C30" s="227"/>
      <c r="D30" s="227"/>
      <c r="E30" s="228"/>
      <c r="F30" s="229"/>
      <c r="G30" s="229"/>
      <c r="H30" s="227"/>
      <c r="I30" s="227"/>
      <c r="J30" s="227"/>
      <c r="K30" s="227"/>
      <c r="L30" s="227"/>
    </row>
    <row r="31" spans="1:20" ht="15.6" customHeight="1">
      <c r="A31" s="236" t="s">
        <v>173</v>
      </c>
      <c r="B31" s="236"/>
      <c r="C31" s="227"/>
      <c r="D31" s="227"/>
      <c r="E31" s="228"/>
      <c r="F31" s="229"/>
      <c r="G31" s="229"/>
      <c r="H31" s="227"/>
      <c r="I31" s="227"/>
      <c r="J31" s="227"/>
      <c r="K31" s="227"/>
      <c r="L31" s="227"/>
    </row>
    <row r="32" spans="1:20" ht="15.6" customHeight="1">
      <c r="A32" s="236" t="s">
        <v>78</v>
      </c>
      <c r="B32" s="236"/>
      <c r="C32" s="227"/>
      <c r="D32" s="230"/>
      <c r="E32" s="228"/>
      <c r="F32" s="229"/>
      <c r="G32" s="229"/>
      <c r="H32" s="227"/>
      <c r="I32" s="227"/>
      <c r="J32" s="227"/>
      <c r="K32" s="227"/>
      <c r="L32" s="227"/>
    </row>
    <row r="33" spans="1:22" ht="15.6" customHeight="1">
      <c r="A33" s="236" t="s">
        <v>6</v>
      </c>
      <c r="B33" s="236"/>
      <c r="C33" s="227"/>
      <c r="D33" s="227"/>
      <c r="E33" s="228"/>
      <c r="F33" s="229"/>
      <c r="G33" s="229"/>
      <c r="H33" s="227"/>
      <c r="I33" s="227"/>
      <c r="J33" s="227"/>
      <c r="K33" s="227"/>
      <c r="L33" s="227"/>
    </row>
    <row r="34" spans="1:22" ht="15.6" customHeight="1">
      <c r="A34" s="236" t="s">
        <v>12</v>
      </c>
      <c r="B34" s="236"/>
      <c r="C34" s="227"/>
      <c r="D34" s="227"/>
      <c r="E34" s="228"/>
      <c r="F34" s="229"/>
      <c r="G34" s="229"/>
      <c r="H34" s="227"/>
      <c r="I34" s="227"/>
      <c r="J34" s="227"/>
      <c r="K34" s="227"/>
      <c r="L34" s="227"/>
    </row>
    <row r="35" spans="1:22" ht="15.6" customHeight="1">
      <c r="A35" s="236" t="s">
        <v>11</v>
      </c>
      <c r="B35" s="236"/>
      <c r="C35" s="227"/>
      <c r="D35" s="227"/>
      <c r="E35" s="228"/>
      <c r="F35" s="229"/>
      <c r="G35" s="229"/>
      <c r="H35" s="227"/>
      <c r="I35" s="227"/>
      <c r="J35" s="227"/>
      <c r="K35" s="227"/>
      <c r="L35" s="227"/>
    </row>
    <row r="36" spans="1:22" ht="15.6" customHeight="1">
      <c r="A36" s="236" t="s">
        <v>224</v>
      </c>
      <c r="B36" s="236"/>
      <c r="C36" s="227"/>
      <c r="D36" s="227"/>
      <c r="E36" s="228"/>
      <c r="F36" s="229"/>
      <c r="G36" s="229"/>
      <c r="H36" s="227"/>
      <c r="I36" s="227"/>
      <c r="J36" s="227"/>
      <c r="K36" s="227"/>
      <c r="L36" s="227"/>
    </row>
    <row r="39" spans="1:22">
      <c r="A39" s="61"/>
      <c r="B39" s="61"/>
      <c r="C39" s="83"/>
      <c r="D39" s="61"/>
      <c r="E39" s="61"/>
      <c r="F39" s="61"/>
      <c r="G39" s="61"/>
      <c r="H39" s="61"/>
    </row>
    <row r="40" spans="1:22">
      <c r="A40" s="78" t="s">
        <v>13</v>
      </c>
      <c r="E40" s="61"/>
      <c r="F40" s="61"/>
      <c r="G40" s="61"/>
      <c r="H40" s="61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</row>
    <row r="41" spans="1:22" ht="16.2">
      <c r="A41" s="84" t="s">
        <v>80</v>
      </c>
      <c r="B41" s="61"/>
      <c r="C41" s="83"/>
      <c r="E41" s="61"/>
      <c r="G41" s="61"/>
    </row>
    <row r="42" spans="1:22" ht="19.8" customHeight="1">
      <c r="A42" s="235" t="s">
        <v>137</v>
      </c>
      <c r="B42" s="235" t="s">
        <v>79</v>
      </c>
      <c r="C42" s="226">
        <v>1</v>
      </c>
      <c r="D42" s="226">
        <v>2</v>
      </c>
      <c r="E42" s="226">
        <v>3</v>
      </c>
      <c r="F42" s="226">
        <v>4</v>
      </c>
      <c r="G42" s="226">
        <v>5</v>
      </c>
      <c r="H42" s="226">
        <v>6</v>
      </c>
      <c r="I42" s="226">
        <v>7</v>
      </c>
      <c r="J42" s="226">
        <v>8</v>
      </c>
      <c r="K42" s="226">
        <v>9</v>
      </c>
      <c r="L42" s="226">
        <v>10</v>
      </c>
    </row>
    <row r="43" spans="1:22" ht="19.2" customHeight="1">
      <c r="A43" s="235" t="s">
        <v>136</v>
      </c>
      <c r="B43" s="72" t="s">
        <v>212</v>
      </c>
      <c r="C43" s="227"/>
      <c r="D43" s="227"/>
      <c r="E43" s="228"/>
      <c r="F43" s="229"/>
      <c r="G43" s="229"/>
      <c r="H43" s="227"/>
      <c r="I43" s="227"/>
      <c r="J43" s="227"/>
      <c r="K43" s="227"/>
      <c r="L43" s="227"/>
    </row>
    <row r="44" spans="1:22" ht="21" customHeight="1">
      <c r="A44" s="90" t="s">
        <v>138</v>
      </c>
      <c r="B44" s="72" t="s">
        <v>83</v>
      </c>
      <c r="C44" s="227"/>
      <c r="D44" s="227"/>
      <c r="E44" s="228"/>
      <c r="F44" s="229"/>
      <c r="G44" s="229"/>
      <c r="H44" s="227"/>
      <c r="I44" s="227"/>
      <c r="J44" s="227"/>
      <c r="K44" s="227"/>
      <c r="L44" s="227"/>
    </row>
    <row r="45" spans="1:22" ht="21" customHeight="1">
      <c r="A45" s="235" t="s">
        <v>139</v>
      </c>
      <c r="B45" s="72" t="s">
        <v>84</v>
      </c>
      <c r="C45" s="227"/>
      <c r="D45" s="227"/>
      <c r="E45" s="228"/>
      <c r="F45" s="229"/>
      <c r="G45" s="229"/>
      <c r="H45" s="227"/>
      <c r="I45" s="227"/>
      <c r="J45" s="227"/>
      <c r="K45" s="227"/>
      <c r="L45" s="227"/>
    </row>
    <row r="46" spans="1:22" ht="20.399999999999999" customHeight="1">
      <c r="A46" s="235" t="s">
        <v>140</v>
      </c>
      <c r="B46" s="72" t="s">
        <v>213</v>
      </c>
      <c r="C46" s="227"/>
      <c r="D46" s="230"/>
      <c r="E46" s="228"/>
      <c r="F46" s="229"/>
      <c r="G46" s="229"/>
      <c r="H46" s="227"/>
      <c r="I46" s="227"/>
      <c r="J46" s="227"/>
      <c r="K46" s="227"/>
      <c r="L46" s="227"/>
    </row>
    <row r="47" spans="1:22" ht="25.2" customHeight="1">
      <c r="A47" s="234" t="s">
        <v>141</v>
      </c>
      <c r="B47" s="72" t="s">
        <v>225</v>
      </c>
      <c r="C47" s="227"/>
      <c r="D47" s="227"/>
      <c r="E47" s="228"/>
      <c r="F47" s="229"/>
      <c r="G47" s="229"/>
      <c r="H47" s="227"/>
      <c r="I47" s="227"/>
      <c r="J47" s="227"/>
      <c r="K47" s="227"/>
      <c r="L47" s="227"/>
    </row>
    <row r="48" spans="1:22" ht="34.799999999999997" customHeight="1">
      <c r="A48" s="232"/>
      <c r="B48" s="72" t="s">
        <v>132</v>
      </c>
      <c r="C48" s="227"/>
      <c r="D48" s="227"/>
      <c r="E48" s="228"/>
      <c r="F48" s="229"/>
      <c r="G48" s="229"/>
      <c r="H48" s="227"/>
      <c r="I48" s="227"/>
      <c r="J48" s="227"/>
      <c r="K48" s="227"/>
      <c r="L48" s="227"/>
    </row>
    <row r="49" spans="1:12" ht="28.2" customHeight="1">
      <c r="A49" s="232"/>
      <c r="B49" s="72" t="s">
        <v>214</v>
      </c>
      <c r="C49" s="227"/>
      <c r="D49" s="227"/>
      <c r="E49" s="228"/>
      <c r="F49" s="229"/>
      <c r="G49" s="229"/>
      <c r="H49" s="227"/>
      <c r="I49" s="227"/>
      <c r="J49" s="227"/>
      <c r="K49" s="227"/>
      <c r="L49" s="227"/>
    </row>
    <row r="50" spans="1:12" ht="21.6" customHeight="1" thickBot="1">
      <c r="A50" s="233"/>
      <c r="B50" s="72" t="s">
        <v>191</v>
      </c>
      <c r="C50" s="227"/>
      <c r="D50" s="227"/>
      <c r="E50" s="228"/>
      <c r="F50" s="229"/>
      <c r="G50" s="229"/>
      <c r="H50" s="227"/>
      <c r="I50" s="227"/>
      <c r="J50" s="227"/>
      <c r="K50" s="227"/>
      <c r="L50" s="227"/>
    </row>
    <row r="51" spans="1:12" ht="22.8" customHeight="1" thickBot="1">
      <c r="A51" s="87" t="s">
        <v>143</v>
      </c>
      <c r="B51" s="72" t="s">
        <v>142</v>
      </c>
      <c r="C51" s="227"/>
      <c r="D51" s="227"/>
      <c r="E51" s="228"/>
      <c r="F51" s="229"/>
      <c r="G51" s="229"/>
      <c r="H51" s="227"/>
      <c r="I51" s="227"/>
      <c r="J51" s="227"/>
      <c r="K51" s="227"/>
      <c r="L51" s="227"/>
    </row>
    <row r="52" spans="1:12" ht="19.2" customHeight="1" thickBot="1">
      <c r="A52" s="87" t="s">
        <v>144</v>
      </c>
      <c r="B52" s="72" t="s">
        <v>85</v>
      </c>
      <c r="C52" s="227"/>
      <c r="D52" s="227"/>
      <c r="E52" s="228"/>
      <c r="F52" s="229"/>
      <c r="G52" s="229"/>
      <c r="H52" s="227"/>
      <c r="I52" s="227"/>
      <c r="J52" s="227"/>
      <c r="K52" s="227"/>
      <c r="L52" s="227"/>
    </row>
    <row r="53" spans="1:12" ht="18.600000000000001" customHeight="1" thickBot="1">
      <c r="A53" s="87" t="s">
        <v>145</v>
      </c>
      <c r="B53" s="72" t="s">
        <v>215</v>
      </c>
      <c r="C53" s="227"/>
      <c r="D53" s="227"/>
      <c r="E53" s="228"/>
      <c r="F53" s="229"/>
      <c r="G53" s="229"/>
      <c r="H53" s="227"/>
      <c r="I53" s="227"/>
      <c r="J53" s="227"/>
      <c r="K53" s="227"/>
      <c r="L53" s="227"/>
    </row>
    <row r="54" spans="1:12" ht="31.8" thickBot="1">
      <c r="A54" s="87" t="s">
        <v>146</v>
      </c>
      <c r="B54" s="72" t="s">
        <v>216</v>
      </c>
      <c r="C54" s="227"/>
      <c r="D54" s="230"/>
      <c r="E54" s="228"/>
      <c r="F54" s="229"/>
      <c r="G54" s="229"/>
      <c r="H54" s="227"/>
      <c r="I54" s="227"/>
      <c r="J54" s="227"/>
      <c r="K54" s="227"/>
      <c r="L54" s="227"/>
    </row>
    <row r="55" spans="1:12" ht="33" customHeight="1" thickBot="1">
      <c r="A55" s="87" t="s">
        <v>147</v>
      </c>
      <c r="B55" s="72" t="s">
        <v>217</v>
      </c>
      <c r="C55" s="227"/>
      <c r="D55" s="227"/>
      <c r="E55" s="228"/>
      <c r="F55" s="229"/>
      <c r="G55" s="229"/>
      <c r="H55" s="227"/>
      <c r="I55" s="227"/>
      <c r="J55" s="227"/>
      <c r="K55" s="227"/>
      <c r="L55" s="227"/>
    </row>
    <row r="56" spans="1:12" ht="31.2">
      <c r="A56" s="231" t="s">
        <v>148</v>
      </c>
      <c r="B56" s="72" t="s">
        <v>218</v>
      </c>
      <c r="C56" s="227"/>
      <c r="D56" s="227"/>
      <c r="E56" s="228"/>
      <c r="F56" s="229"/>
      <c r="G56" s="229"/>
      <c r="H56" s="227"/>
      <c r="I56" s="227"/>
      <c r="J56" s="227"/>
      <c r="K56" s="227"/>
      <c r="L56" s="227"/>
    </row>
    <row r="57" spans="1:12" ht="31.2" customHeight="1" thickBot="1">
      <c r="A57" s="233"/>
      <c r="B57" s="88" t="s">
        <v>219</v>
      </c>
      <c r="C57" s="227"/>
      <c r="D57" s="227"/>
      <c r="E57" s="228"/>
      <c r="F57" s="229"/>
      <c r="G57" s="229"/>
      <c r="H57" s="227"/>
      <c r="I57" s="227"/>
      <c r="J57" s="227"/>
      <c r="K57" s="227"/>
      <c r="L57" s="227"/>
    </row>
    <row r="58" spans="1:12" ht="16.2" thickBot="1">
      <c r="A58" s="89" t="s">
        <v>149</v>
      </c>
      <c r="B58" s="72" t="s">
        <v>81</v>
      </c>
      <c r="C58" s="227"/>
      <c r="D58" s="227"/>
      <c r="E58" s="228"/>
      <c r="F58" s="229"/>
      <c r="G58" s="229"/>
      <c r="H58" s="227"/>
      <c r="I58" s="227"/>
      <c r="J58" s="227"/>
      <c r="K58" s="227"/>
      <c r="L58" s="227"/>
    </row>
    <row r="59" spans="1:12" ht="16.2" thickBot="1">
      <c r="A59" s="89" t="s">
        <v>150</v>
      </c>
      <c r="B59" s="72" t="s">
        <v>86</v>
      </c>
      <c r="C59" s="227"/>
      <c r="D59" s="227"/>
      <c r="E59" s="228"/>
      <c r="F59" s="229"/>
      <c r="G59" s="229"/>
      <c r="H59" s="227"/>
      <c r="I59" s="227"/>
      <c r="J59" s="227"/>
      <c r="K59" s="227"/>
      <c r="L59" s="227"/>
    </row>
    <row r="60" spans="1:12" ht="16.2" thickBot="1">
      <c r="A60" s="89" t="s">
        <v>151</v>
      </c>
      <c r="B60" s="72" t="s">
        <v>87</v>
      </c>
      <c r="C60" s="227"/>
      <c r="D60" s="227"/>
      <c r="E60" s="228"/>
      <c r="F60" s="229"/>
      <c r="G60" s="229"/>
      <c r="H60" s="227"/>
      <c r="I60" s="227"/>
      <c r="J60" s="227"/>
      <c r="K60" s="227"/>
      <c r="L60" s="227"/>
    </row>
    <row r="61" spans="1:12">
      <c r="A61" s="237" t="s">
        <v>152</v>
      </c>
      <c r="B61" s="72" t="s">
        <v>88</v>
      </c>
      <c r="C61" s="227"/>
      <c r="D61" s="227"/>
      <c r="E61" s="228"/>
      <c r="F61" s="229"/>
      <c r="G61" s="229"/>
      <c r="H61" s="227"/>
      <c r="I61" s="227"/>
      <c r="J61" s="227"/>
      <c r="K61" s="227"/>
      <c r="L61" s="227"/>
    </row>
    <row r="62" spans="1:12" ht="16.2" thickBot="1">
      <c r="A62" s="238"/>
      <c r="B62" s="72" t="s">
        <v>127</v>
      </c>
      <c r="C62" s="227"/>
      <c r="D62" s="227"/>
      <c r="E62" s="228"/>
      <c r="F62" s="229"/>
      <c r="G62" s="229"/>
      <c r="H62" s="227"/>
      <c r="I62" s="227"/>
      <c r="J62" s="227"/>
      <c r="K62" s="227"/>
      <c r="L62" s="227"/>
    </row>
    <row r="63" spans="1:12" ht="31.8" thickBot="1">
      <c r="A63" s="89" t="s">
        <v>153</v>
      </c>
      <c r="B63" s="72" t="s">
        <v>227</v>
      </c>
      <c r="C63" s="227"/>
      <c r="D63" s="227"/>
      <c r="E63" s="228"/>
      <c r="F63" s="229"/>
      <c r="G63" s="229"/>
      <c r="H63" s="227"/>
      <c r="I63" s="227"/>
      <c r="J63" s="227"/>
      <c r="K63" s="227"/>
      <c r="L63" s="227"/>
    </row>
    <row r="64" spans="1:12" ht="16.2" thickBot="1">
      <c r="A64" s="89" t="s">
        <v>154</v>
      </c>
      <c r="B64" s="72" t="s">
        <v>82</v>
      </c>
      <c r="C64" s="227"/>
      <c r="D64" s="227"/>
      <c r="E64" s="228"/>
      <c r="F64" s="229"/>
      <c r="G64" s="229"/>
      <c r="H64" s="227"/>
      <c r="I64" s="227"/>
      <c r="J64" s="227"/>
      <c r="K64" s="227"/>
      <c r="L64" s="227"/>
    </row>
    <row r="65" spans="1:18" ht="29.4" customHeight="1" thickBot="1">
      <c r="A65" s="89" t="s">
        <v>155</v>
      </c>
      <c r="B65" s="90" t="s">
        <v>128</v>
      </c>
      <c r="C65" s="227"/>
      <c r="D65" s="227"/>
      <c r="E65" s="228"/>
      <c r="F65" s="229"/>
      <c r="G65" s="229"/>
      <c r="H65" s="227"/>
      <c r="I65" s="227"/>
      <c r="J65" s="227"/>
      <c r="K65" s="227"/>
      <c r="L65" s="227"/>
    </row>
    <row r="66" spans="1:18">
      <c r="A66" s="117" t="s">
        <v>192</v>
      </c>
      <c r="B66" s="118" t="s">
        <v>129</v>
      </c>
      <c r="C66" s="227"/>
      <c r="D66" s="227"/>
      <c r="E66" s="228"/>
      <c r="F66" s="229"/>
      <c r="G66" s="229"/>
      <c r="H66" s="227"/>
      <c r="I66" s="227"/>
      <c r="J66" s="227"/>
      <c r="K66" s="227"/>
      <c r="L66" s="227"/>
    </row>
    <row r="70" spans="1:18">
      <c r="A70" s="109" t="s">
        <v>169</v>
      </c>
    </row>
    <row r="71" spans="1:18" ht="24" customHeight="1">
      <c r="A71" s="240" t="s">
        <v>226</v>
      </c>
      <c r="B71" s="241"/>
      <c r="C71" s="226">
        <v>1</v>
      </c>
      <c r="D71" s="226">
        <v>2</v>
      </c>
      <c r="E71" s="226">
        <v>3</v>
      </c>
      <c r="F71" s="226">
        <v>4</v>
      </c>
      <c r="G71" s="226">
        <v>5</v>
      </c>
      <c r="H71" s="226">
        <v>6</v>
      </c>
      <c r="I71" s="226">
        <v>7</v>
      </c>
      <c r="J71" s="226">
        <v>8</v>
      </c>
      <c r="K71" s="226">
        <v>9</v>
      </c>
      <c r="L71" s="226">
        <v>10</v>
      </c>
    </row>
    <row r="72" spans="1:18" ht="31.8" customHeight="1">
      <c r="A72" s="236" t="s">
        <v>220</v>
      </c>
      <c r="B72" s="236"/>
      <c r="C72" s="227"/>
      <c r="D72" s="227"/>
      <c r="E72" s="228"/>
      <c r="F72" s="229"/>
      <c r="G72" s="229"/>
      <c r="H72" s="227"/>
      <c r="I72" s="227"/>
      <c r="J72" s="227"/>
      <c r="K72" s="227"/>
      <c r="L72" s="227"/>
    </row>
    <row r="73" spans="1:18" ht="15.75" customHeight="1">
      <c r="A73" s="236" t="s">
        <v>221</v>
      </c>
      <c r="B73" s="23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R73" s="80"/>
    </row>
    <row r="74" spans="1:18" ht="15.75" customHeight="1">
      <c r="A74" s="236" t="s">
        <v>165</v>
      </c>
      <c r="B74" s="236"/>
      <c r="C74" s="227"/>
      <c r="D74" s="227"/>
      <c r="E74" s="228"/>
      <c r="F74" s="229"/>
      <c r="G74" s="229"/>
      <c r="H74" s="227"/>
      <c r="I74" s="227"/>
      <c r="J74" s="227"/>
      <c r="K74" s="227"/>
      <c r="L74" s="227"/>
      <c r="R74" s="80"/>
    </row>
    <row r="75" spans="1:18" ht="15.75" customHeight="1">
      <c r="A75" s="236" t="s">
        <v>167</v>
      </c>
      <c r="B75" s="23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R75" s="80"/>
    </row>
    <row r="76" spans="1:18" ht="15.75" customHeight="1">
      <c r="A76" s="236" t="s">
        <v>168</v>
      </c>
      <c r="B76" s="236"/>
      <c r="C76" s="227"/>
      <c r="D76" s="227"/>
      <c r="E76" s="228"/>
      <c r="F76" s="229"/>
      <c r="G76" s="229"/>
      <c r="H76" s="227"/>
      <c r="I76" s="227"/>
      <c r="J76" s="227"/>
      <c r="K76" s="227"/>
      <c r="L76" s="227"/>
    </row>
    <row r="77" spans="1:18" ht="15.75" customHeight="1">
      <c r="A77" s="236" t="s">
        <v>166</v>
      </c>
      <c r="B77" s="236"/>
      <c r="C77" s="226"/>
      <c r="D77" s="226"/>
      <c r="E77" s="226"/>
      <c r="F77" s="226"/>
      <c r="G77" s="226"/>
      <c r="H77" s="226"/>
      <c r="I77" s="226"/>
      <c r="J77" s="226"/>
      <c r="K77" s="226"/>
      <c r="L77" s="226"/>
    </row>
    <row r="78" spans="1:18" ht="15.75" customHeight="1">
      <c r="A78" s="236" t="s">
        <v>128</v>
      </c>
      <c r="B78" s="236"/>
      <c r="C78" s="227"/>
      <c r="D78" s="227"/>
      <c r="E78" s="228"/>
      <c r="F78" s="229"/>
      <c r="G78" s="229"/>
      <c r="H78" s="227"/>
      <c r="I78" s="227"/>
      <c r="J78" s="227"/>
      <c r="K78" s="227"/>
      <c r="L78" s="227"/>
    </row>
    <row r="79" spans="1:18" ht="15.75" customHeight="1">
      <c r="A79" s="236" t="s">
        <v>129</v>
      </c>
      <c r="B79" s="236"/>
      <c r="C79" s="226"/>
      <c r="D79" s="226"/>
      <c r="E79" s="226"/>
      <c r="F79" s="226"/>
      <c r="G79" s="226"/>
      <c r="H79" s="226"/>
      <c r="I79" s="226"/>
      <c r="J79" s="226"/>
      <c r="K79" s="226"/>
      <c r="L79" s="226"/>
    </row>
    <row r="80" spans="1:18" ht="15.75" customHeight="1"/>
    <row r="81" spans="1:24" ht="15.75" customHeight="1"/>
    <row r="82" spans="1:24" ht="15.75" customHeight="1">
      <c r="A82" s="70" t="s">
        <v>170</v>
      </c>
      <c r="M82" s="62"/>
      <c r="N82" s="62"/>
    </row>
    <row r="83" spans="1:24" ht="15.75" customHeight="1">
      <c r="A83" s="240" t="s">
        <v>226</v>
      </c>
      <c r="B83" s="241"/>
      <c r="C83" s="226">
        <v>1</v>
      </c>
      <c r="D83" s="226">
        <v>2</v>
      </c>
      <c r="E83" s="226">
        <v>3</v>
      </c>
      <c r="F83" s="226">
        <v>4</v>
      </c>
      <c r="G83" s="226">
        <v>5</v>
      </c>
      <c r="H83" s="226">
        <v>6</v>
      </c>
      <c r="I83" s="226">
        <v>7</v>
      </c>
      <c r="J83" s="226">
        <v>8</v>
      </c>
      <c r="K83" s="226">
        <v>9</v>
      </c>
      <c r="L83" s="226">
        <v>10</v>
      </c>
      <c r="T83" s="62"/>
      <c r="U83" s="62"/>
      <c r="V83" s="62"/>
      <c r="W83" s="62"/>
      <c r="X83" s="62"/>
    </row>
    <row r="84" spans="1:24" ht="15.75" customHeight="1">
      <c r="A84" s="236" t="s">
        <v>172</v>
      </c>
      <c r="B84" s="236"/>
      <c r="C84" s="227"/>
      <c r="D84" s="227"/>
      <c r="E84" s="228"/>
      <c r="F84" s="229"/>
      <c r="G84" s="229"/>
      <c r="H84" s="227"/>
      <c r="I84" s="227"/>
      <c r="J84" s="227"/>
      <c r="K84" s="227"/>
      <c r="L84" s="227"/>
      <c r="T84" s="62"/>
      <c r="U84" s="62"/>
      <c r="V84" s="62"/>
      <c r="W84" s="62"/>
      <c r="X84" s="62"/>
    </row>
    <row r="85" spans="1:24" ht="15.75" customHeight="1">
      <c r="A85" s="236" t="s">
        <v>222</v>
      </c>
      <c r="B85" s="23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P85" s="64"/>
      <c r="Q85" s="64"/>
      <c r="R85" s="64"/>
      <c r="S85" s="60"/>
      <c r="T85" s="63"/>
      <c r="U85" s="64"/>
      <c r="V85" s="64"/>
      <c r="W85" s="64"/>
      <c r="X85" s="64"/>
    </row>
    <row r="86" spans="1:24" ht="15.75" customHeight="1">
      <c r="A86" s="236" t="s">
        <v>223</v>
      </c>
      <c r="B86" s="236"/>
      <c r="C86" s="227"/>
      <c r="D86" s="227"/>
      <c r="E86" s="228"/>
      <c r="F86" s="229"/>
      <c r="G86" s="229"/>
      <c r="H86" s="227"/>
      <c r="I86" s="227"/>
      <c r="J86" s="227"/>
      <c r="K86" s="227"/>
      <c r="L86" s="227"/>
      <c r="P86" s="64"/>
      <c r="Q86" s="64"/>
      <c r="R86" s="64"/>
      <c r="S86" s="60"/>
      <c r="T86" s="63"/>
      <c r="U86" s="64"/>
      <c r="V86" s="64"/>
      <c r="W86" s="64"/>
      <c r="X86" s="64"/>
    </row>
    <row r="87" spans="1:24" ht="22.8" customHeight="1">
      <c r="A87" s="236" t="s">
        <v>174</v>
      </c>
      <c r="B87" s="23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65"/>
      <c r="N87" s="61"/>
    </row>
    <row r="88" spans="1:24" ht="20.399999999999999" customHeight="1">
      <c r="A88" s="236" t="s">
        <v>175</v>
      </c>
      <c r="B88" s="236"/>
      <c r="C88" s="227"/>
      <c r="D88" s="227"/>
      <c r="E88" s="228"/>
      <c r="F88" s="229"/>
      <c r="G88" s="229"/>
      <c r="H88" s="227"/>
      <c r="I88" s="227"/>
      <c r="J88" s="227"/>
      <c r="K88" s="227"/>
      <c r="L88" s="227"/>
      <c r="M88" s="65"/>
      <c r="N88" s="61"/>
    </row>
    <row r="89" spans="1:24" ht="24" customHeight="1">
      <c r="A89" s="236" t="s">
        <v>176</v>
      </c>
      <c r="B89" s="23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65"/>
      <c r="N89" s="61"/>
    </row>
    <row r="90" spans="1:24" ht="21.6" customHeight="1">
      <c r="A90" s="236" t="s">
        <v>166</v>
      </c>
      <c r="B90" s="236"/>
      <c r="C90" s="227"/>
      <c r="D90" s="227"/>
      <c r="E90" s="228"/>
      <c r="F90" s="229"/>
      <c r="G90" s="229"/>
      <c r="H90" s="227"/>
      <c r="I90" s="227"/>
      <c r="J90" s="227"/>
      <c r="K90" s="227"/>
      <c r="L90" s="227"/>
    </row>
    <row r="91" spans="1:24" ht="21.6" customHeight="1">
      <c r="A91" s="236" t="s">
        <v>128</v>
      </c>
      <c r="B91" s="236"/>
      <c r="C91" s="227"/>
      <c r="D91" s="227"/>
      <c r="E91" s="228"/>
      <c r="F91" s="229"/>
      <c r="G91" s="229"/>
      <c r="H91" s="227"/>
      <c r="I91" s="227"/>
      <c r="J91" s="227"/>
      <c r="K91" s="227"/>
      <c r="L91" s="227"/>
    </row>
    <row r="92" spans="1:24" ht="15.6" customHeight="1">
      <c r="A92" s="236" t="s">
        <v>129</v>
      </c>
      <c r="B92" s="23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P92" s="67"/>
      <c r="Q92" s="67"/>
      <c r="R92" s="67"/>
    </row>
    <row r="93" spans="1:24" ht="15.75" customHeight="1">
      <c r="P93" s="67"/>
      <c r="Q93" s="67"/>
      <c r="R93" s="67"/>
    </row>
    <row r="94" spans="1:24" ht="18" customHeight="1"/>
    <row r="99" spans="6:25">
      <c r="Q99" s="63"/>
      <c r="R99" s="64"/>
      <c r="S99" s="64"/>
      <c r="T99" s="64"/>
      <c r="U99" s="64"/>
      <c r="V99" s="64"/>
      <c r="X99" s="60"/>
      <c r="Y99" s="60"/>
    </row>
    <row r="100" spans="6:25">
      <c r="P100" s="69"/>
      <c r="Q100" s="61"/>
      <c r="R100" s="68"/>
      <c r="S100" s="66"/>
      <c r="T100" s="67"/>
      <c r="U100" s="67"/>
    </row>
    <row r="101" spans="6:25">
      <c r="F101" s="69"/>
      <c r="G101" s="61"/>
      <c r="H101" s="68"/>
      <c r="I101" s="66"/>
      <c r="J101" s="67"/>
      <c r="K101" s="67"/>
    </row>
    <row r="102" spans="6:25">
      <c r="F102" s="69"/>
      <c r="G102" s="61"/>
      <c r="H102" s="68"/>
      <c r="I102" s="66"/>
      <c r="J102" s="67"/>
      <c r="K102" s="67"/>
    </row>
    <row r="103" spans="6:25">
      <c r="F103" s="69"/>
      <c r="G103" s="61"/>
      <c r="H103" s="68"/>
      <c r="I103" s="66"/>
      <c r="J103" s="67"/>
      <c r="K103" s="67"/>
    </row>
    <row r="104" spans="6:25">
      <c r="F104" s="69"/>
      <c r="G104" s="61"/>
      <c r="H104" s="68"/>
      <c r="I104" s="66"/>
      <c r="J104" s="67"/>
      <c r="K104" s="67"/>
    </row>
    <row r="109" spans="6:25">
      <c r="G109" s="70"/>
      <c r="H109" s="70"/>
      <c r="I109" s="70"/>
      <c r="J109" s="70"/>
      <c r="K109" s="70"/>
      <c r="L109" s="70"/>
    </row>
    <row r="110" spans="6:25">
      <c r="P110" s="82"/>
    </row>
    <row r="118" spans="1:15">
      <c r="A118" s="71"/>
      <c r="M118" s="60"/>
      <c r="N118" s="63"/>
      <c r="O118" s="64"/>
    </row>
    <row r="130" spans="1:10">
      <c r="A130" s="85"/>
      <c r="B130" s="85"/>
      <c r="C130" s="85"/>
      <c r="D130" s="85"/>
      <c r="E130" s="85"/>
      <c r="F130" s="85"/>
      <c r="G130" s="85"/>
      <c r="H130" s="85"/>
      <c r="I130" s="85"/>
      <c r="J130" s="85"/>
    </row>
    <row r="131" spans="1:10">
      <c r="A131" s="85"/>
      <c r="B131" s="85"/>
      <c r="C131" s="85"/>
      <c r="D131" s="85"/>
      <c r="E131" s="85"/>
      <c r="F131" s="85"/>
      <c r="G131" s="85"/>
      <c r="H131" s="85"/>
      <c r="I131" s="85"/>
      <c r="J131" s="85"/>
    </row>
    <row r="132" spans="1:10">
      <c r="A132" s="85"/>
      <c r="B132" s="85"/>
      <c r="C132" s="85"/>
      <c r="D132" s="85"/>
      <c r="E132" s="85"/>
      <c r="F132" s="85"/>
      <c r="G132" s="85"/>
      <c r="H132" s="85"/>
      <c r="I132" s="85"/>
      <c r="J132" s="85"/>
    </row>
  </sheetData>
  <mergeCells count="37">
    <mergeCell ref="A90:B90"/>
    <mergeCell ref="A92:B92"/>
    <mergeCell ref="A91:B91"/>
    <mergeCell ref="A76:B76"/>
    <mergeCell ref="A77:B77"/>
    <mergeCell ref="A78:B78"/>
    <mergeCell ref="A79:B79"/>
    <mergeCell ref="A72:B72"/>
    <mergeCell ref="A73:B73"/>
    <mergeCell ref="A74:B74"/>
    <mergeCell ref="A75:B75"/>
    <mergeCell ref="A71:B71"/>
    <mergeCell ref="A83:B83"/>
    <mergeCell ref="A84:B84"/>
    <mergeCell ref="A85:B85"/>
    <mergeCell ref="A86:B86"/>
    <mergeCell ref="A87:B87"/>
    <mergeCell ref="A88:B88"/>
    <mergeCell ref="A89:B89"/>
    <mergeCell ref="A35:B35"/>
    <mergeCell ref="A36:B36"/>
    <mergeCell ref="A56:A57"/>
    <mergeCell ref="A61:A62"/>
    <mergeCell ref="A34:B34"/>
    <mergeCell ref="A30:B30"/>
    <mergeCell ref="A31:B31"/>
    <mergeCell ref="A32:B32"/>
    <mergeCell ref="A33:B33"/>
    <mergeCell ref="A29:B29"/>
    <mergeCell ref="A4:H4"/>
    <mergeCell ref="A15:F15"/>
    <mergeCell ref="U40:V40"/>
    <mergeCell ref="A18:I18"/>
    <mergeCell ref="J40:L40"/>
    <mergeCell ref="M40:T40"/>
    <mergeCell ref="A47:A50"/>
    <mergeCell ref="A28:B28"/>
  </mergeCells>
  <phoneticPr fontId="60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7C1B-E9EC-4355-A2A4-61D73B85DB70}">
  <dimension ref="B1:Q185"/>
  <sheetViews>
    <sheetView topLeftCell="A142" zoomScaleNormal="100" workbookViewId="0">
      <selection activeCell="G119" sqref="G119:H119"/>
    </sheetView>
  </sheetViews>
  <sheetFormatPr defaultColWidth="9" defaultRowHeight="16.8"/>
  <cols>
    <col min="1" max="1" width="4.59765625" style="10" customWidth="1"/>
    <col min="2" max="7" width="9" style="10"/>
    <col min="8" max="8" width="7.69921875" style="10" customWidth="1"/>
    <col min="9" max="16384" width="9" style="10"/>
  </cols>
  <sheetData>
    <row r="1" spans="2:15">
      <c r="D1" s="172" t="s">
        <v>38</v>
      </c>
      <c r="E1" s="172"/>
      <c r="F1" s="172"/>
      <c r="G1" s="172"/>
      <c r="H1" s="172"/>
      <c r="I1" s="172"/>
      <c r="J1" s="12"/>
      <c r="K1" s="12"/>
    </row>
    <row r="2" spans="2:15">
      <c r="D2" s="11" t="s">
        <v>39</v>
      </c>
      <c r="E2" s="11"/>
      <c r="F2" s="11"/>
      <c r="G2" s="11"/>
      <c r="H2" s="11"/>
      <c r="I2" s="11"/>
      <c r="J2" s="11"/>
      <c r="K2" s="11"/>
    </row>
    <row r="3" spans="2:15">
      <c r="D3" s="11" t="s">
        <v>40</v>
      </c>
      <c r="E3" s="11"/>
      <c r="F3" s="11"/>
      <c r="G3" s="11"/>
      <c r="H3" s="11"/>
      <c r="I3" s="11"/>
      <c r="J3" s="11"/>
      <c r="K3" s="11"/>
    </row>
    <row r="4" spans="2:15">
      <c r="D4" s="11" t="s">
        <v>41</v>
      </c>
      <c r="E4" s="11"/>
      <c r="F4" s="11"/>
      <c r="G4" s="11"/>
      <c r="H4" s="11"/>
      <c r="I4" s="11"/>
      <c r="J4" s="11"/>
      <c r="K4" s="11"/>
      <c r="L4" s="11"/>
      <c r="M4" s="11"/>
      <c r="N4" s="12"/>
      <c r="O4" s="12"/>
    </row>
    <row r="5" spans="2:15">
      <c r="D5" s="10" t="s">
        <v>42</v>
      </c>
    </row>
    <row r="9" spans="2:15">
      <c r="B9" s="7"/>
      <c r="C9" s="7"/>
      <c r="D9" s="7"/>
      <c r="E9" s="7"/>
      <c r="F9" s="7"/>
      <c r="G9" s="7"/>
      <c r="H9" s="7"/>
      <c r="I9" s="7"/>
    </row>
    <row r="10" spans="2:15">
      <c r="B10" s="7"/>
      <c r="C10" s="7"/>
      <c r="D10" s="7"/>
      <c r="E10" s="7"/>
      <c r="F10" s="7"/>
      <c r="G10" s="7"/>
      <c r="H10" s="7"/>
      <c r="I10" s="7"/>
    </row>
    <row r="11" spans="2:15">
      <c r="B11" s="7"/>
      <c r="C11" s="7"/>
      <c r="D11" s="7"/>
      <c r="E11" s="7"/>
      <c r="F11" s="7"/>
      <c r="G11" s="7"/>
      <c r="H11" s="7"/>
      <c r="I11" s="7"/>
    </row>
    <row r="12" spans="2:15" ht="18.600000000000001">
      <c r="B12" s="163" t="s">
        <v>97</v>
      </c>
      <c r="C12" s="163"/>
      <c r="D12" s="163"/>
      <c r="E12" s="163"/>
      <c r="F12" s="163"/>
      <c r="G12" s="163"/>
      <c r="H12" s="163"/>
      <c r="I12" s="163"/>
      <c r="J12" s="163"/>
    </row>
    <row r="13" spans="2:15" ht="19.2">
      <c r="B13" s="164" t="s">
        <v>98</v>
      </c>
      <c r="C13" s="164"/>
      <c r="D13" s="164"/>
      <c r="E13" s="164"/>
      <c r="F13" s="164"/>
      <c r="G13" s="164"/>
      <c r="H13" s="164"/>
      <c r="I13" s="164"/>
      <c r="J13" s="164"/>
    </row>
    <row r="14" spans="2:15">
      <c r="B14" s="7"/>
      <c r="C14" s="7"/>
      <c r="D14" s="7"/>
      <c r="E14" s="7"/>
      <c r="F14" s="7"/>
      <c r="G14" s="7"/>
      <c r="H14" s="7"/>
      <c r="I14" s="7"/>
    </row>
    <row r="15" spans="2:15">
      <c r="B15" s="7"/>
      <c r="C15" s="183" t="s">
        <v>113</v>
      </c>
      <c r="D15" s="183"/>
      <c r="E15" s="183"/>
      <c r="F15" s="7"/>
      <c r="G15" s="7"/>
      <c r="H15" s="7"/>
      <c r="I15" s="7"/>
    </row>
    <row r="16" spans="2:15">
      <c r="B16" s="7"/>
      <c r="C16" s="7"/>
      <c r="D16" s="7"/>
      <c r="E16" s="7"/>
      <c r="F16" s="7"/>
      <c r="G16" s="7"/>
      <c r="H16" s="7"/>
      <c r="I16" s="7"/>
    </row>
    <row r="17" spans="2:9">
      <c r="B17" s="7"/>
      <c r="C17" s="183" t="s">
        <v>109</v>
      </c>
      <c r="D17" s="183"/>
      <c r="E17" s="183"/>
      <c r="F17" s="7"/>
      <c r="G17" s="7"/>
      <c r="H17" s="7"/>
      <c r="I17" s="7"/>
    </row>
    <row r="18" spans="2:9">
      <c r="B18" s="7"/>
      <c r="C18" s="7"/>
      <c r="D18" s="7"/>
      <c r="E18" s="7"/>
      <c r="F18" s="7"/>
      <c r="G18" s="7"/>
      <c r="H18" s="7"/>
      <c r="I18" s="7"/>
    </row>
    <row r="19" spans="2:9">
      <c r="B19" s="7"/>
      <c r="C19" s="184" t="s">
        <v>110</v>
      </c>
      <c r="D19" s="184"/>
      <c r="E19" s="184"/>
      <c r="F19" s="7"/>
      <c r="G19" s="7"/>
      <c r="H19" s="7"/>
      <c r="I19" s="7"/>
    </row>
    <row r="20" spans="2:9">
      <c r="B20" s="7"/>
      <c r="E20" s="7"/>
      <c r="F20" s="7"/>
      <c r="G20" s="7"/>
      <c r="H20" s="7"/>
      <c r="I20" s="7"/>
    </row>
    <row r="21" spans="2:9">
      <c r="B21" s="7"/>
      <c r="C21" s="14" t="s">
        <v>111</v>
      </c>
      <c r="E21" s="7"/>
      <c r="F21" s="7"/>
      <c r="G21" s="7"/>
      <c r="H21" s="7"/>
      <c r="I21" s="7"/>
    </row>
    <row r="22" spans="2:9">
      <c r="B22" s="7"/>
      <c r="E22" s="7"/>
      <c r="F22" s="7"/>
      <c r="G22" s="7"/>
      <c r="H22" s="7"/>
      <c r="I22" s="7"/>
    </row>
    <row r="23" spans="2:9">
      <c r="B23" s="7"/>
      <c r="C23" s="184" t="s">
        <v>112</v>
      </c>
      <c r="D23" s="184"/>
      <c r="E23" s="184"/>
      <c r="F23" s="7"/>
      <c r="G23" s="7"/>
      <c r="H23" s="7"/>
      <c r="I23" s="7"/>
    </row>
    <row r="24" spans="2:9">
      <c r="B24" s="7"/>
      <c r="E24" s="7"/>
      <c r="F24" s="7"/>
      <c r="G24" s="7"/>
      <c r="H24" s="7"/>
      <c r="I24" s="7"/>
    </row>
    <row r="25" spans="2:9">
      <c r="B25" s="7"/>
      <c r="E25" s="7"/>
      <c r="F25" s="7"/>
      <c r="G25" s="7"/>
      <c r="H25" s="7"/>
      <c r="I25" s="7"/>
    </row>
    <row r="26" spans="2:9">
      <c r="B26" s="7"/>
      <c r="E26" s="7"/>
      <c r="F26" s="7"/>
      <c r="G26" s="7"/>
      <c r="H26" s="7"/>
      <c r="I26" s="7"/>
    </row>
    <row r="27" spans="2:9">
      <c r="B27" s="7"/>
      <c r="C27" s="7"/>
      <c r="D27" s="7"/>
      <c r="E27" s="7"/>
      <c r="F27" s="7"/>
      <c r="G27" s="7"/>
      <c r="H27" s="7"/>
      <c r="I27" s="7"/>
    </row>
    <row r="28" spans="2:9">
      <c r="B28" s="7"/>
      <c r="C28" s="7"/>
      <c r="D28" s="7"/>
      <c r="E28" s="7"/>
      <c r="F28" s="7"/>
      <c r="G28" s="7"/>
      <c r="H28" s="7"/>
      <c r="I28" s="7"/>
    </row>
    <row r="29" spans="2:9">
      <c r="B29" s="7"/>
      <c r="C29" s="7"/>
      <c r="D29" s="7"/>
      <c r="E29" s="7"/>
      <c r="F29" s="7"/>
      <c r="G29" s="7"/>
      <c r="H29" s="7"/>
      <c r="I29" s="7"/>
    </row>
    <row r="30" spans="2:9">
      <c r="B30" s="7"/>
      <c r="C30" s="6" t="s">
        <v>91</v>
      </c>
      <c r="D30" s="6"/>
      <c r="E30" s="7"/>
      <c r="F30" s="7"/>
      <c r="G30" s="7"/>
      <c r="H30" s="7"/>
      <c r="I30" s="7"/>
    </row>
    <row r="31" spans="2:9">
      <c r="B31" s="7"/>
      <c r="C31" s="9" t="s">
        <v>92</v>
      </c>
      <c r="D31" s="6"/>
      <c r="E31" s="7"/>
      <c r="F31" s="7"/>
      <c r="G31" s="7"/>
      <c r="H31" s="7"/>
      <c r="I31" s="7"/>
    </row>
    <row r="32" spans="2:9">
      <c r="B32" s="7"/>
      <c r="C32" s="7"/>
      <c r="D32" s="7"/>
      <c r="E32" s="7"/>
      <c r="F32" s="7"/>
      <c r="G32" s="7"/>
      <c r="H32" s="7"/>
      <c r="I32" s="7"/>
    </row>
    <row r="33" spans="2:10">
      <c r="B33" s="7"/>
      <c r="C33" s="6" t="s">
        <v>93</v>
      </c>
      <c r="D33" s="7"/>
      <c r="E33" s="7"/>
      <c r="F33" s="7"/>
      <c r="G33" s="7"/>
      <c r="H33" s="7"/>
      <c r="I33" s="7"/>
    </row>
    <row r="34" spans="2:10">
      <c r="B34" s="7"/>
      <c r="C34" s="9" t="s">
        <v>94</v>
      </c>
      <c r="D34" s="7"/>
      <c r="E34" s="7"/>
      <c r="F34" s="7"/>
      <c r="G34" s="7"/>
      <c r="H34" s="7"/>
      <c r="I34" s="7"/>
    </row>
    <row r="35" spans="2:10">
      <c r="B35" s="7"/>
      <c r="C35" s="7"/>
      <c r="D35" s="7"/>
      <c r="E35" s="7"/>
      <c r="F35" s="7"/>
      <c r="G35" s="7"/>
      <c r="H35" s="7"/>
      <c r="I35" s="7"/>
    </row>
    <row r="36" spans="2:10">
      <c r="B36" s="7"/>
      <c r="C36" s="6" t="s">
        <v>95</v>
      </c>
      <c r="D36" s="7"/>
      <c r="E36" s="7"/>
      <c r="F36" s="7"/>
      <c r="G36" s="7"/>
      <c r="H36" s="7"/>
      <c r="I36" s="7"/>
    </row>
    <row r="37" spans="2:10">
      <c r="B37" s="7"/>
      <c r="C37" s="9" t="s">
        <v>96</v>
      </c>
      <c r="D37" s="7"/>
      <c r="E37" s="7"/>
      <c r="F37" s="7"/>
      <c r="G37" s="7"/>
      <c r="H37" s="7"/>
      <c r="I37" s="7"/>
    </row>
    <row r="38" spans="2:10">
      <c r="B38" s="7"/>
      <c r="C38" s="7"/>
      <c r="D38" s="7"/>
      <c r="E38" s="7"/>
      <c r="F38" s="7"/>
      <c r="G38" s="7"/>
      <c r="H38" s="7"/>
      <c r="I38" s="7"/>
    </row>
    <row r="39" spans="2:10">
      <c r="B39" s="7"/>
      <c r="C39" s="7"/>
      <c r="D39" s="7"/>
      <c r="E39" s="7"/>
      <c r="F39" s="7"/>
      <c r="G39" s="7"/>
      <c r="H39" s="7"/>
      <c r="I39" s="7"/>
    </row>
    <row r="40" spans="2:10">
      <c r="B40" s="7"/>
      <c r="C40" s="7"/>
      <c r="D40" s="7"/>
      <c r="E40" s="7"/>
      <c r="F40" s="7"/>
      <c r="G40" s="7"/>
      <c r="H40" s="7"/>
      <c r="I40" s="7"/>
    </row>
    <row r="41" spans="2:10">
      <c r="B41" s="7"/>
      <c r="C41" s="7"/>
      <c r="D41" s="7"/>
      <c r="E41" s="7"/>
      <c r="F41" s="7"/>
      <c r="G41" s="7"/>
      <c r="H41" s="7"/>
      <c r="I41" s="7"/>
    </row>
    <row r="42" spans="2:10">
      <c r="B42" s="7"/>
      <c r="C42" s="7"/>
      <c r="D42" s="7"/>
      <c r="E42" s="7"/>
      <c r="F42" s="7"/>
      <c r="G42" s="7"/>
      <c r="H42" s="7"/>
      <c r="I42" s="7"/>
    </row>
    <row r="43" spans="2:10">
      <c r="B43" s="6" t="s">
        <v>99</v>
      </c>
      <c r="C43" s="7"/>
      <c r="D43" s="7"/>
      <c r="E43" s="7"/>
      <c r="F43" s="7"/>
      <c r="G43" s="7"/>
      <c r="H43" s="7"/>
      <c r="I43" s="7"/>
    </row>
    <row r="44" spans="2:10">
      <c r="B44" s="7"/>
      <c r="C44" s="7"/>
      <c r="D44" s="12"/>
      <c r="E44" s="12"/>
      <c r="F44" s="13"/>
      <c r="G44" s="13"/>
      <c r="H44" s="7"/>
      <c r="I44" s="7"/>
    </row>
    <row r="45" spans="2:10" ht="41.25" customHeight="1">
      <c r="B45" s="165" t="s">
        <v>46</v>
      </c>
      <c r="C45" s="165"/>
      <c r="D45" s="165"/>
      <c r="E45" s="165"/>
      <c r="F45" s="165"/>
      <c r="G45" s="165"/>
      <c r="H45" s="165"/>
      <c r="I45" s="165"/>
      <c r="J45" s="165"/>
    </row>
    <row r="46" spans="2:10">
      <c r="B46" s="166" t="s">
        <v>45</v>
      </c>
      <c r="C46" s="166"/>
      <c r="D46" s="166"/>
      <c r="E46" s="166"/>
      <c r="F46" s="166"/>
      <c r="G46" s="166"/>
      <c r="H46" s="166"/>
      <c r="I46" s="166"/>
      <c r="J46" s="166"/>
    </row>
    <row r="47" spans="2:10">
      <c r="B47" s="8"/>
      <c r="C47" s="8"/>
      <c r="D47" s="8"/>
      <c r="E47" s="8"/>
      <c r="F47" s="8"/>
      <c r="G47" s="8"/>
      <c r="H47" s="8"/>
      <c r="I47" s="8"/>
      <c r="J47" s="8"/>
    </row>
    <row r="48" spans="2:10">
      <c r="B48" s="175" t="s">
        <v>43</v>
      </c>
      <c r="C48" s="175"/>
      <c r="D48" s="175"/>
      <c r="E48" s="175"/>
      <c r="F48" s="175"/>
      <c r="G48" s="175"/>
      <c r="H48" s="175"/>
      <c r="I48" s="175"/>
      <c r="J48" s="175"/>
    </row>
    <row r="49" spans="2:10">
      <c r="B49" s="175" t="s">
        <v>44</v>
      </c>
      <c r="C49" s="175"/>
      <c r="D49" s="175"/>
      <c r="E49" s="175"/>
      <c r="F49" s="175"/>
      <c r="G49" s="175"/>
      <c r="H49" s="175"/>
      <c r="I49" s="175"/>
      <c r="J49" s="175"/>
    </row>
    <row r="50" spans="2:10">
      <c r="B50" s="7"/>
      <c r="C50" s="7"/>
      <c r="D50" s="7"/>
      <c r="I50" s="7"/>
    </row>
    <row r="51" spans="2:10">
      <c r="B51" s="6" t="s">
        <v>100</v>
      </c>
      <c r="C51" s="7"/>
      <c r="D51" s="7"/>
      <c r="E51" s="7"/>
      <c r="F51" s="7"/>
      <c r="G51" s="7"/>
      <c r="H51" s="7"/>
      <c r="I51" s="7"/>
    </row>
    <row r="52" spans="2:10">
      <c r="B52" s="7"/>
      <c r="C52" s="7"/>
      <c r="D52" s="7"/>
      <c r="E52" s="7"/>
      <c r="F52" s="7"/>
      <c r="G52" s="7"/>
      <c r="H52" s="7"/>
      <c r="I52" s="7"/>
    </row>
    <row r="53" spans="2:10" ht="33" customHeight="1">
      <c r="B53" s="7"/>
      <c r="C53" s="176" t="s">
        <v>62</v>
      </c>
      <c r="D53" s="177"/>
      <c r="E53" s="177"/>
      <c r="F53" s="181"/>
      <c r="G53" s="181"/>
      <c r="H53" s="181"/>
      <c r="I53" s="182"/>
    </row>
    <row r="54" spans="2:10" ht="38.25" customHeight="1">
      <c r="B54" s="7"/>
      <c r="C54" s="176" t="s">
        <v>63</v>
      </c>
      <c r="D54" s="177"/>
      <c r="E54" s="177"/>
      <c r="F54" s="34"/>
      <c r="G54" s="35"/>
      <c r="H54" s="179"/>
      <c r="I54" s="179"/>
    </row>
    <row r="55" spans="2:10" ht="32.25" customHeight="1">
      <c r="B55" s="7"/>
      <c r="C55" s="176" t="s">
        <v>64</v>
      </c>
      <c r="D55" s="177"/>
      <c r="E55" s="177"/>
      <c r="F55" s="177"/>
      <c r="G55" s="178"/>
      <c r="H55" s="179"/>
      <c r="I55" s="179"/>
    </row>
    <row r="56" spans="2:10" ht="34.5" customHeight="1">
      <c r="B56" s="7"/>
      <c r="C56" s="176" t="s">
        <v>65</v>
      </c>
      <c r="D56" s="177"/>
      <c r="E56" s="177"/>
      <c r="F56" s="177"/>
      <c r="G56" s="178"/>
      <c r="H56" s="180"/>
      <c r="I56" s="180"/>
    </row>
    <row r="57" spans="2:10" ht="33" customHeight="1">
      <c r="B57" s="7"/>
      <c r="C57" s="176" t="s">
        <v>66</v>
      </c>
      <c r="D57" s="177"/>
      <c r="E57" s="177"/>
      <c r="F57" s="177"/>
      <c r="G57" s="178"/>
      <c r="H57" s="180"/>
      <c r="I57" s="180"/>
    </row>
    <row r="58" spans="2:10">
      <c r="B58" s="7"/>
      <c r="C58" s="7"/>
      <c r="D58" s="7"/>
      <c r="E58" s="7"/>
      <c r="F58" s="7"/>
      <c r="G58" s="7"/>
      <c r="H58" s="7"/>
      <c r="I58" s="7"/>
    </row>
    <row r="59" spans="2:10">
      <c r="B59" s="6" t="s">
        <v>101</v>
      </c>
      <c r="C59" s="7"/>
      <c r="D59" s="7"/>
      <c r="E59" s="7"/>
      <c r="F59" s="7"/>
      <c r="G59" s="7"/>
      <c r="H59" s="7"/>
      <c r="I59" s="7"/>
      <c r="J59" s="7"/>
    </row>
    <row r="60" spans="2:10">
      <c r="B60" s="18"/>
    </row>
    <row r="61" spans="2:10">
      <c r="B61" s="17"/>
      <c r="E61" s="17"/>
      <c r="G61" s="17"/>
    </row>
    <row r="62" spans="2:10">
      <c r="B62" s="17"/>
    </row>
    <row r="72" spans="2:15">
      <c r="B72" s="173" t="s">
        <v>50</v>
      </c>
      <c r="C72" s="174"/>
      <c r="D72" s="174"/>
      <c r="E72" s="174"/>
      <c r="F72" s="174"/>
      <c r="G72" s="174"/>
      <c r="H72" s="174"/>
      <c r="I72" s="174"/>
      <c r="J72" s="174"/>
    </row>
    <row r="73" spans="2:15">
      <c r="B73" s="20" t="s">
        <v>9</v>
      </c>
    </row>
    <row r="74" spans="2:15">
      <c r="B74" s="10" t="s">
        <v>47</v>
      </c>
    </row>
    <row r="75" spans="2:15">
      <c r="B75" s="10" t="s">
        <v>48</v>
      </c>
    </row>
    <row r="76" spans="2:15">
      <c r="B76" s="10" t="s">
        <v>49</v>
      </c>
    </row>
    <row r="79" spans="2:15">
      <c r="B79" s="14" t="s">
        <v>102</v>
      </c>
      <c r="K79" s="15"/>
      <c r="L79" s="15"/>
      <c r="M79" s="15"/>
      <c r="N79" s="15"/>
      <c r="O79" s="15"/>
    </row>
    <row r="80" spans="2:15">
      <c r="B80" s="18"/>
      <c r="K80" s="15"/>
      <c r="L80" s="15"/>
      <c r="M80" s="15"/>
      <c r="N80" s="15"/>
      <c r="O80" s="15"/>
    </row>
    <row r="81" spans="2:15" ht="17.399999999999999" thickBot="1">
      <c r="B81" s="14"/>
      <c r="K81" s="15"/>
      <c r="L81" s="15"/>
      <c r="M81" s="15"/>
      <c r="N81" s="15"/>
      <c r="O81" s="15"/>
    </row>
    <row r="82" spans="2:15" ht="31.5" customHeight="1">
      <c r="B82" s="167" t="s">
        <v>108</v>
      </c>
      <c r="C82" s="168"/>
      <c r="D82" s="168"/>
      <c r="E82" s="168"/>
      <c r="F82" s="168"/>
      <c r="G82" s="168"/>
      <c r="H82" s="168"/>
      <c r="I82" s="168"/>
      <c r="J82" s="169"/>
    </row>
    <row r="83" spans="2:15" ht="34.5" customHeight="1">
      <c r="B83" s="149" t="s">
        <v>51</v>
      </c>
      <c r="C83" s="150"/>
      <c r="D83" s="150"/>
      <c r="E83" s="150"/>
      <c r="F83" s="150"/>
      <c r="G83" s="150"/>
      <c r="H83" s="150"/>
      <c r="I83" s="145">
        <f>Calculation!D19</f>
        <v>0</v>
      </c>
      <c r="J83" s="146"/>
    </row>
    <row r="84" spans="2:15" ht="34.5" customHeight="1">
      <c r="B84" s="149" t="s">
        <v>52</v>
      </c>
      <c r="C84" s="150"/>
      <c r="D84" s="150"/>
      <c r="E84" s="150"/>
      <c r="F84" s="150"/>
      <c r="G84" s="150"/>
      <c r="H84" s="150"/>
      <c r="I84" s="145">
        <f>Calculation!D21</f>
        <v>0</v>
      </c>
      <c r="J84" s="146"/>
    </row>
    <row r="85" spans="2:15" ht="33" customHeight="1" thickBot="1">
      <c r="B85" s="151" t="s">
        <v>53</v>
      </c>
      <c r="C85" s="152"/>
      <c r="D85" s="152"/>
      <c r="E85" s="152"/>
      <c r="F85" s="152"/>
      <c r="G85" s="152"/>
      <c r="H85" s="152"/>
      <c r="I85" s="147">
        <f>Calculation!D20</f>
        <v>0</v>
      </c>
      <c r="J85" s="148"/>
    </row>
    <row r="86" spans="2:15" ht="19.5" customHeight="1">
      <c r="B86" s="25"/>
      <c r="C86" s="25"/>
      <c r="D86" s="25"/>
      <c r="E86" s="25"/>
      <c r="F86" s="25"/>
      <c r="G86" s="25"/>
      <c r="H86" s="25"/>
      <c r="I86" s="24"/>
      <c r="J86" s="24"/>
    </row>
    <row r="87" spans="2:15" ht="17.399999999999999" thickBot="1">
      <c r="B87" s="21"/>
      <c r="C87" s="21"/>
      <c r="D87" s="21"/>
      <c r="E87" s="21"/>
      <c r="F87" s="21"/>
      <c r="G87" s="21"/>
      <c r="H87" s="21"/>
      <c r="I87" s="21"/>
      <c r="J87" s="21"/>
    </row>
    <row r="88" spans="2:15" ht="35.25" customHeight="1">
      <c r="B88" s="167" t="s">
        <v>107</v>
      </c>
      <c r="C88" s="168"/>
      <c r="D88" s="168"/>
      <c r="E88" s="168"/>
      <c r="F88" s="168"/>
      <c r="G88" s="168"/>
      <c r="H88" s="168"/>
      <c r="I88" s="168"/>
      <c r="J88" s="169"/>
    </row>
    <row r="89" spans="2:15" ht="33.75" customHeight="1">
      <c r="B89" s="170" t="s">
        <v>57</v>
      </c>
      <c r="C89" s="171"/>
      <c r="D89" s="171"/>
      <c r="E89" s="171"/>
      <c r="F89" s="171"/>
      <c r="G89" s="171"/>
      <c r="H89" s="171"/>
      <c r="I89" s="145">
        <f>Calculation!D24</f>
        <v>0</v>
      </c>
      <c r="J89" s="146"/>
    </row>
    <row r="90" spans="2:15" ht="33.75" customHeight="1">
      <c r="B90" s="170" t="s">
        <v>54</v>
      </c>
      <c r="C90" s="171"/>
      <c r="D90" s="171"/>
      <c r="E90" s="171"/>
      <c r="F90" s="171"/>
      <c r="G90" s="171"/>
      <c r="H90" s="171"/>
      <c r="I90" s="145">
        <f>Calculation!D23</f>
        <v>0</v>
      </c>
      <c r="J90" s="146"/>
    </row>
    <row r="91" spans="2:15" ht="33.75" customHeight="1">
      <c r="B91" s="170" t="s">
        <v>55</v>
      </c>
      <c r="C91" s="171"/>
      <c r="D91" s="171"/>
      <c r="E91" s="171"/>
      <c r="F91" s="171"/>
      <c r="G91" s="171"/>
      <c r="H91" s="171"/>
      <c r="I91" s="145">
        <f>Calculation!D25</f>
        <v>0</v>
      </c>
      <c r="J91" s="146"/>
    </row>
    <row r="92" spans="2:15" ht="33.75" customHeight="1" thickBot="1">
      <c r="B92" s="188" t="s">
        <v>56</v>
      </c>
      <c r="C92" s="189"/>
      <c r="D92" s="189"/>
      <c r="E92" s="189"/>
      <c r="F92" s="189"/>
      <c r="G92" s="189"/>
      <c r="H92" s="189"/>
      <c r="I92" s="147">
        <f>Calculation!H23</f>
        <v>0</v>
      </c>
      <c r="J92" s="148"/>
    </row>
    <row r="93" spans="2:15" ht="21" customHeight="1">
      <c r="B93" s="8"/>
      <c r="C93" s="8"/>
      <c r="D93" s="8"/>
      <c r="E93" s="8"/>
      <c r="F93" s="8"/>
      <c r="G93" s="8"/>
      <c r="H93" s="8"/>
      <c r="I93" s="24"/>
      <c r="J93" s="24"/>
    </row>
    <row r="94" spans="2:15" ht="17.399999999999999" thickBot="1">
      <c r="B94" s="22"/>
      <c r="C94" s="22"/>
      <c r="D94" s="22"/>
      <c r="E94" s="22"/>
      <c r="F94" s="22"/>
      <c r="G94" s="22"/>
      <c r="H94" s="22"/>
      <c r="I94" s="22"/>
      <c r="J94" s="22"/>
    </row>
    <row r="95" spans="2:15" ht="32.25" customHeight="1">
      <c r="B95" s="185" t="s">
        <v>106</v>
      </c>
      <c r="C95" s="186"/>
      <c r="D95" s="186"/>
      <c r="E95" s="186"/>
      <c r="F95" s="186"/>
      <c r="G95" s="186"/>
      <c r="H95" s="186"/>
      <c r="I95" s="186"/>
      <c r="J95" s="187"/>
    </row>
    <row r="96" spans="2:15" ht="34.5" customHeight="1">
      <c r="B96" s="149" t="s">
        <v>58</v>
      </c>
      <c r="C96" s="150"/>
      <c r="D96" s="150"/>
      <c r="E96" s="150"/>
      <c r="F96" s="150"/>
      <c r="G96" s="150"/>
      <c r="H96" s="150"/>
      <c r="I96" s="145">
        <f>Calculation!H24</f>
        <v>0</v>
      </c>
      <c r="J96" s="146"/>
    </row>
    <row r="97" spans="2:17" ht="33.75" customHeight="1">
      <c r="B97" s="149" t="s">
        <v>59</v>
      </c>
      <c r="C97" s="150"/>
      <c r="D97" s="150"/>
      <c r="E97" s="150"/>
      <c r="F97" s="150"/>
      <c r="G97" s="150"/>
      <c r="H97" s="150"/>
      <c r="I97" s="145">
        <f>Calculation!H25</f>
        <v>0</v>
      </c>
      <c r="J97" s="146"/>
    </row>
    <row r="98" spans="2:17" ht="31.5" customHeight="1">
      <c r="B98" s="149" t="s">
        <v>60</v>
      </c>
      <c r="C98" s="150"/>
      <c r="D98" s="150"/>
      <c r="E98" s="150"/>
      <c r="F98" s="150"/>
      <c r="G98" s="150"/>
      <c r="H98" s="150"/>
      <c r="I98" s="145">
        <f>Calculation!C29</f>
        <v>0</v>
      </c>
      <c r="J98" s="146"/>
    </row>
    <row r="99" spans="2:17" ht="35.25" customHeight="1">
      <c r="B99" s="149" t="s">
        <v>61</v>
      </c>
      <c r="C99" s="150"/>
      <c r="D99" s="150"/>
      <c r="E99" s="150"/>
      <c r="F99" s="150"/>
      <c r="G99" s="150"/>
      <c r="H99" s="150"/>
      <c r="I99" s="145">
        <f>Calculation!D29</f>
        <v>0</v>
      </c>
      <c r="J99" s="146"/>
    </row>
    <row r="100" spans="2:17" ht="41.25" customHeight="1" thickBot="1">
      <c r="B100" s="158" t="s">
        <v>67</v>
      </c>
      <c r="C100" s="159"/>
      <c r="D100" s="159"/>
      <c r="E100" s="159"/>
      <c r="F100" s="159"/>
      <c r="G100" s="159"/>
      <c r="H100" s="159"/>
      <c r="I100" s="160" t="s">
        <v>89</v>
      </c>
      <c r="J100" s="148"/>
    </row>
    <row r="101" spans="2:17">
      <c r="F101" s="23"/>
      <c r="J101" s="24"/>
    </row>
    <row r="102" spans="2:17">
      <c r="F102" s="23"/>
      <c r="J102" s="24"/>
    </row>
    <row r="103" spans="2:17">
      <c r="F103" s="23"/>
      <c r="J103" s="24"/>
    </row>
    <row r="104" spans="2:17">
      <c r="F104" s="23"/>
      <c r="J104" s="24"/>
    </row>
    <row r="105" spans="2:17" ht="24" customHeight="1">
      <c r="B105" s="161" t="s">
        <v>103</v>
      </c>
      <c r="C105" s="161"/>
      <c r="D105" s="161"/>
      <c r="E105" s="161"/>
      <c r="F105" s="161"/>
      <c r="G105" s="161"/>
      <c r="H105" s="161"/>
      <c r="I105" s="161"/>
      <c r="J105" s="161"/>
    </row>
    <row r="106" spans="2:17" ht="50.25" customHeight="1">
      <c r="B106" s="26" t="s">
        <v>71</v>
      </c>
      <c r="C106" s="162" t="s">
        <v>68</v>
      </c>
      <c r="D106" s="162"/>
      <c r="E106" s="162" t="s">
        <v>75</v>
      </c>
      <c r="F106" s="162"/>
      <c r="G106" s="162" t="s">
        <v>69</v>
      </c>
      <c r="H106" s="162"/>
      <c r="I106" s="162" t="s">
        <v>70</v>
      </c>
      <c r="J106" s="162"/>
      <c r="K106" s="19"/>
      <c r="L106" s="19"/>
      <c r="M106" s="19"/>
      <c r="N106" s="19"/>
      <c r="O106" s="19"/>
      <c r="P106" s="19"/>
      <c r="Q106" s="19"/>
    </row>
    <row r="107" spans="2:17">
      <c r="B107" s="27">
        <v>1</v>
      </c>
      <c r="C107" s="144">
        <f>Calculation!F29</f>
        <v>0</v>
      </c>
      <c r="D107" s="144"/>
      <c r="E107" s="144">
        <f>Calculation!G29</f>
        <v>0</v>
      </c>
      <c r="F107" s="144"/>
      <c r="G107" s="153">
        <f>Calculation!H29</f>
        <v>0</v>
      </c>
      <c r="H107" s="153"/>
      <c r="I107" s="153" t="e">
        <f>Calculation!#REF!</f>
        <v>#REF!</v>
      </c>
      <c r="J107" s="153"/>
    </row>
    <row r="108" spans="2:17">
      <c r="B108" s="27">
        <v>2</v>
      </c>
      <c r="C108" s="144">
        <f>Calculation!F30</f>
        <v>0</v>
      </c>
      <c r="D108" s="144"/>
      <c r="E108" s="144">
        <f>Calculation!G30</f>
        <v>0</v>
      </c>
      <c r="F108" s="144"/>
      <c r="G108" s="153">
        <f>Calculation!H30</f>
        <v>0</v>
      </c>
      <c r="H108" s="153"/>
      <c r="I108" s="153" t="e">
        <f>Calculation!#REF!</f>
        <v>#REF!</v>
      </c>
      <c r="J108" s="153"/>
    </row>
    <row r="109" spans="2:17">
      <c r="B109" s="27">
        <v>3</v>
      </c>
      <c r="C109" s="144">
        <f>Calculation!F31</f>
        <v>0</v>
      </c>
      <c r="D109" s="144"/>
      <c r="E109" s="144">
        <f>Calculation!G31</f>
        <v>0</v>
      </c>
      <c r="F109" s="144"/>
      <c r="G109" s="153">
        <f>Calculation!H31</f>
        <v>0</v>
      </c>
      <c r="H109" s="153"/>
      <c r="I109" s="153" t="e">
        <f>Calculation!#REF!</f>
        <v>#REF!</v>
      </c>
      <c r="J109" s="153"/>
    </row>
    <row r="110" spans="2:17">
      <c r="B110" s="27">
        <v>4</v>
      </c>
      <c r="C110" s="144">
        <f>Calculation!F32</f>
        <v>0</v>
      </c>
      <c r="D110" s="144"/>
      <c r="E110" s="144">
        <f>Calculation!G32</f>
        <v>0</v>
      </c>
      <c r="F110" s="144"/>
      <c r="G110" s="153">
        <f>Calculation!H32</f>
        <v>0</v>
      </c>
      <c r="H110" s="153"/>
      <c r="I110" s="153" t="e">
        <f>Calculation!#REF!</f>
        <v>#REF!</v>
      </c>
      <c r="J110" s="153"/>
    </row>
    <row r="111" spans="2:17">
      <c r="B111" s="27">
        <v>5</v>
      </c>
      <c r="C111" s="144">
        <f>Calculation!F33</f>
        <v>0</v>
      </c>
      <c r="D111" s="144"/>
      <c r="E111" s="144">
        <f>Calculation!G33</f>
        <v>0</v>
      </c>
      <c r="F111" s="144"/>
      <c r="G111" s="153">
        <f>Calculation!H33</f>
        <v>0</v>
      </c>
      <c r="H111" s="153"/>
      <c r="I111" s="153" t="e">
        <f>Calculation!#REF!</f>
        <v>#REF!</v>
      </c>
      <c r="J111" s="153"/>
    </row>
    <row r="112" spans="2:17">
      <c r="B112" s="27">
        <v>6</v>
      </c>
      <c r="C112" s="144">
        <f>Calculation!F34</f>
        <v>0</v>
      </c>
      <c r="D112" s="144"/>
      <c r="E112" s="144">
        <f>Calculation!G34</f>
        <v>0</v>
      </c>
      <c r="F112" s="144"/>
      <c r="G112" s="153">
        <f>Calculation!H34</f>
        <v>0</v>
      </c>
      <c r="H112" s="153"/>
      <c r="I112" s="153" t="e">
        <f>Calculation!#REF!</f>
        <v>#REF!</v>
      </c>
      <c r="J112" s="153"/>
    </row>
    <row r="113" spans="2:14">
      <c r="B113" s="27">
        <v>7</v>
      </c>
      <c r="C113" s="144">
        <f>Calculation!F35</f>
        <v>0</v>
      </c>
      <c r="D113" s="144"/>
      <c r="E113" s="144">
        <f>Calculation!G35</f>
        <v>0</v>
      </c>
      <c r="F113" s="144"/>
      <c r="G113" s="153">
        <f>Calculation!H35</f>
        <v>0</v>
      </c>
      <c r="H113" s="153"/>
      <c r="I113" s="153" t="e">
        <f>Calculation!#REF!</f>
        <v>#REF!</v>
      </c>
      <c r="J113" s="153"/>
    </row>
    <row r="114" spans="2:14">
      <c r="B114" s="27">
        <v>8</v>
      </c>
      <c r="C114" s="156"/>
      <c r="D114" s="156"/>
      <c r="E114" s="157"/>
      <c r="F114" s="157"/>
      <c r="G114" s="153"/>
      <c r="H114" s="153"/>
      <c r="I114" s="153"/>
      <c r="J114" s="153"/>
    </row>
    <row r="115" spans="2:14">
      <c r="B115" s="27">
        <v>9</v>
      </c>
      <c r="C115" s="156"/>
      <c r="D115" s="156"/>
      <c r="E115" s="157"/>
      <c r="F115" s="157"/>
      <c r="G115" s="153"/>
      <c r="H115" s="153"/>
      <c r="I115" s="153"/>
      <c r="J115" s="153"/>
    </row>
    <row r="116" spans="2:14">
      <c r="B116" s="27">
        <v>10</v>
      </c>
      <c r="C116" s="156"/>
      <c r="D116" s="156"/>
      <c r="E116" s="157"/>
      <c r="F116" s="157"/>
      <c r="G116" s="153"/>
      <c r="H116" s="153"/>
      <c r="I116" s="153"/>
      <c r="J116" s="153"/>
    </row>
    <row r="117" spans="2:14" ht="31.5" customHeight="1">
      <c r="B117" s="154" t="s">
        <v>104</v>
      </c>
      <c r="C117" s="155"/>
      <c r="D117" s="155"/>
      <c r="E117" s="155"/>
      <c r="F117" s="155"/>
      <c r="G117" s="155"/>
      <c r="H117" s="155"/>
      <c r="I117" s="155"/>
      <c r="J117" s="155"/>
    </row>
    <row r="118" spans="2:14" ht="33" customHeight="1">
      <c r="B118" s="28" t="s">
        <v>72</v>
      </c>
      <c r="C118" s="140" t="s">
        <v>73</v>
      </c>
      <c r="D118" s="140"/>
      <c r="E118" s="140" t="s">
        <v>74</v>
      </c>
      <c r="F118" s="140"/>
      <c r="G118" s="140" t="s">
        <v>76</v>
      </c>
      <c r="H118" s="140"/>
      <c r="I118" s="140" t="s">
        <v>77</v>
      </c>
      <c r="J118" s="140"/>
    </row>
    <row r="119" spans="2:14">
      <c r="B119" s="29">
        <v>1</v>
      </c>
      <c r="C119" s="137">
        <f>Calculation!F51*3600</f>
        <v>0</v>
      </c>
      <c r="D119" s="137"/>
      <c r="E119" s="139" t="e">
        <f>Calculation!#REF!</f>
        <v>#REF!</v>
      </c>
      <c r="F119" s="139"/>
      <c r="G119" s="138" t="e">
        <f>Calculation!#REF!</f>
        <v>#REF!</v>
      </c>
      <c r="H119" s="138"/>
      <c r="I119" s="138" t="e">
        <f>Calculation!#REF!</f>
        <v>#REF!</v>
      </c>
      <c r="J119" s="136"/>
    </row>
    <row r="120" spans="2:14">
      <c r="B120" s="29">
        <v>2</v>
      </c>
      <c r="C120" s="137">
        <f>Calculation!F52*3600</f>
        <v>0</v>
      </c>
      <c r="D120" s="137"/>
      <c r="E120" s="139" t="e">
        <f>Calculation!#REF!</f>
        <v>#REF!</v>
      </c>
      <c r="F120" s="139"/>
      <c r="G120" s="138" t="e">
        <f>Calculation!#REF!</f>
        <v>#REF!</v>
      </c>
      <c r="H120" s="138"/>
      <c r="I120" s="138" t="e">
        <f>Calculation!#REF!</f>
        <v>#REF!</v>
      </c>
      <c r="J120" s="136"/>
    </row>
    <row r="121" spans="2:14">
      <c r="B121" s="29">
        <v>3</v>
      </c>
      <c r="C121" s="137">
        <f>Calculation!F53*3600</f>
        <v>0</v>
      </c>
      <c r="D121" s="137"/>
      <c r="E121" s="139" t="e">
        <f>Calculation!#REF!</f>
        <v>#REF!</v>
      </c>
      <c r="F121" s="139"/>
      <c r="G121" s="138" t="e">
        <f>Calculation!#REF!</f>
        <v>#REF!</v>
      </c>
      <c r="H121" s="138"/>
      <c r="I121" s="138" t="e">
        <f>Calculation!#REF!</f>
        <v>#REF!</v>
      </c>
      <c r="J121" s="136"/>
    </row>
    <row r="122" spans="2:14">
      <c r="B122" s="29">
        <v>4</v>
      </c>
      <c r="C122" s="137">
        <f>Calculation!F54*3600</f>
        <v>0</v>
      </c>
      <c r="D122" s="137"/>
      <c r="E122" s="139" t="e">
        <f>Calculation!#REF!</f>
        <v>#REF!</v>
      </c>
      <c r="F122" s="139"/>
      <c r="G122" s="138" t="e">
        <f>Calculation!#REF!</f>
        <v>#REF!</v>
      </c>
      <c r="H122" s="138"/>
      <c r="I122" s="138" t="e">
        <f>Calculation!#REF!</f>
        <v>#REF!</v>
      </c>
      <c r="J122" s="136"/>
    </row>
    <row r="123" spans="2:14">
      <c r="B123" s="29">
        <v>5</v>
      </c>
      <c r="C123" s="137">
        <f>Calculation!F55*3600</f>
        <v>0</v>
      </c>
      <c r="D123" s="137"/>
      <c r="E123" s="139" t="e">
        <f>Calculation!#REF!</f>
        <v>#REF!</v>
      </c>
      <c r="F123" s="139"/>
      <c r="G123" s="138" t="e">
        <f>Calculation!#REF!</f>
        <v>#REF!</v>
      </c>
      <c r="H123" s="138"/>
      <c r="I123" s="138">
        <f>Calculation!J98</f>
        <v>0</v>
      </c>
      <c r="J123" s="136"/>
    </row>
    <row r="124" spans="2:14">
      <c r="B124" s="29">
        <v>6</v>
      </c>
      <c r="C124" s="137">
        <f>Calculation!F56*3600</f>
        <v>0</v>
      </c>
      <c r="D124" s="137"/>
      <c r="E124" s="139" t="e">
        <f>Calculation!#REF!</f>
        <v>#REF!</v>
      </c>
      <c r="F124" s="139"/>
      <c r="G124" s="138" t="e">
        <f>Calculation!#REF!</f>
        <v>#REF!</v>
      </c>
      <c r="H124" s="138"/>
      <c r="I124" s="138">
        <f>Calculation!J99</f>
        <v>0</v>
      </c>
      <c r="J124" s="136"/>
      <c r="N124" s="16"/>
    </row>
    <row r="125" spans="2:14">
      <c r="B125" s="29">
        <v>7</v>
      </c>
      <c r="C125" s="137">
        <f>Calculation!F57*3600</f>
        <v>0</v>
      </c>
      <c r="D125" s="137"/>
      <c r="E125" s="139" t="e">
        <f>Calculation!#REF!</f>
        <v>#REF!</v>
      </c>
      <c r="F125" s="139"/>
      <c r="G125" s="138" t="e">
        <f>Calculation!#REF!</f>
        <v>#REF!</v>
      </c>
      <c r="H125" s="138"/>
      <c r="I125" s="138">
        <f>Calculation!J100</f>
        <v>0</v>
      </c>
      <c r="J125" s="136"/>
    </row>
    <row r="126" spans="2:14">
      <c r="B126" s="29">
        <v>8</v>
      </c>
      <c r="C126" s="135"/>
      <c r="D126" s="135"/>
      <c r="E126" s="135"/>
      <c r="F126" s="135"/>
      <c r="G126" s="136"/>
      <c r="H126" s="136"/>
      <c r="I126" s="136"/>
      <c r="J126" s="136"/>
    </row>
    <row r="127" spans="2:14">
      <c r="B127" s="29">
        <v>9</v>
      </c>
      <c r="C127" s="135"/>
      <c r="D127" s="135"/>
      <c r="E127" s="135"/>
      <c r="F127" s="135"/>
      <c r="G127" s="136"/>
      <c r="H127" s="136"/>
      <c r="I127" s="136"/>
      <c r="J127" s="136"/>
    </row>
    <row r="128" spans="2:14">
      <c r="B128" s="29">
        <v>10</v>
      </c>
      <c r="C128" s="135"/>
      <c r="D128" s="135"/>
      <c r="E128" s="135"/>
      <c r="F128" s="135"/>
      <c r="G128" s="136"/>
      <c r="H128" s="136"/>
      <c r="I128" s="136"/>
      <c r="J128" s="136"/>
    </row>
    <row r="129" spans="2:10">
      <c r="B129" s="141" t="s">
        <v>105</v>
      </c>
      <c r="C129" s="142"/>
      <c r="D129" s="142"/>
      <c r="E129" s="142"/>
      <c r="F129" s="142"/>
      <c r="G129" s="142"/>
      <c r="H129" s="142"/>
      <c r="I129" s="142"/>
      <c r="J129" s="142"/>
    </row>
    <row r="130" spans="2:10">
      <c r="B130" s="143"/>
      <c r="C130" s="143"/>
      <c r="D130" s="143"/>
      <c r="E130" s="143"/>
      <c r="F130" s="143"/>
      <c r="G130" s="143"/>
      <c r="H130" s="143"/>
      <c r="I130" s="143"/>
      <c r="J130" s="143"/>
    </row>
    <row r="131" spans="2:10" ht="33" customHeight="1">
      <c r="B131" s="28" t="s">
        <v>72</v>
      </c>
      <c r="C131" s="140" t="s">
        <v>73</v>
      </c>
      <c r="D131" s="140"/>
      <c r="E131" s="140" t="s">
        <v>74</v>
      </c>
      <c r="F131" s="140"/>
      <c r="G131" s="140" t="s">
        <v>76</v>
      </c>
      <c r="H131" s="140"/>
      <c r="I131" s="140" t="s">
        <v>77</v>
      </c>
      <c r="J131" s="140"/>
    </row>
    <row r="132" spans="2:10">
      <c r="B132" s="29">
        <v>1</v>
      </c>
      <c r="C132" s="137">
        <f>Calculation!G51*3600</f>
        <v>0</v>
      </c>
      <c r="D132" s="137"/>
      <c r="E132" s="137" t="e">
        <f>Calculation!#REF!</f>
        <v>#REF!</v>
      </c>
      <c r="F132" s="137"/>
      <c r="G132" s="138" t="e">
        <f>Calculation!#REF!</f>
        <v>#REF!</v>
      </c>
      <c r="H132" s="136"/>
      <c r="I132" s="138" t="e">
        <f>Calculation!#REF!</f>
        <v>#REF!</v>
      </c>
      <c r="J132" s="136"/>
    </row>
    <row r="133" spans="2:10">
      <c r="B133" s="29">
        <v>2</v>
      </c>
      <c r="C133" s="137">
        <f>Calculation!G52*3600</f>
        <v>0</v>
      </c>
      <c r="D133" s="137"/>
      <c r="E133" s="137" t="e">
        <f>Calculation!#REF!</f>
        <v>#REF!</v>
      </c>
      <c r="F133" s="137"/>
      <c r="G133" s="138" t="e">
        <f>Calculation!#REF!</f>
        <v>#REF!</v>
      </c>
      <c r="H133" s="136"/>
      <c r="I133" s="138" t="e">
        <f>Calculation!#REF!</f>
        <v>#REF!</v>
      </c>
      <c r="J133" s="136"/>
    </row>
    <row r="134" spans="2:10">
      <c r="B134" s="29">
        <v>3</v>
      </c>
      <c r="C134" s="137">
        <f>Calculation!G53*3600</f>
        <v>0</v>
      </c>
      <c r="D134" s="137"/>
      <c r="E134" s="137" t="e">
        <f>Calculation!#REF!</f>
        <v>#REF!</v>
      </c>
      <c r="F134" s="137"/>
      <c r="G134" s="138" t="e">
        <f>Calculation!#REF!</f>
        <v>#REF!</v>
      </c>
      <c r="H134" s="136"/>
      <c r="I134" s="138" t="e">
        <f>Calculation!#REF!</f>
        <v>#REF!</v>
      </c>
      <c r="J134" s="136"/>
    </row>
    <row r="135" spans="2:10">
      <c r="B135" s="29">
        <v>4</v>
      </c>
      <c r="C135" s="137">
        <f>Calculation!G54*3600</f>
        <v>0</v>
      </c>
      <c r="D135" s="137"/>
      <c r="E135" s="137" t="e">
        <f>Calculation!#REF!</f>
        <v>#REF!</v>
      </c>
      <c r="F135" s="137"/>
      <c r="G135" s="138" t="e">
        <f>Calculation!#REF!</f>
        <v>#REF!</v>
      </c>
      <c r="H135" s="136"/>
      <c r="I135" s="138" t="e">
        <f>Calculation!#REF!</f>
        <v>#REF!</v>
      </c>
      <c r="J135" s="136"/>
    </row>
    <row r="136" spans="2:10">
      <c r="B136" s="29">
        <v>5</v>
      </c>
      <c r="C136" s="137">
        <f>Calculation!G55*3600</f>
        <v>0</v>
      </c>
      <c r="D136" s="137"/>
      <c r="E136" s="137">
        <f>Calculation!G112</f>
        <v>0</v>
      </c>
      <c r="F136" s="137"/>
      <c r="G136" s="138" t="e">
        <f>Calculation!#REF!</f>
        <v>#REF!</v>
      </c>
      <c r="H136" s="136"/>
      <c r="I136" s="138" t="e">
        <f>Calculation!#REF!</f>
        <v>#REF!</v>
      </c>
      <c r="J136" s="136"/>
    </row>
    <row r="137" spans="2:10">
      <c r="B137" s="29">
        <v>6</v>
      </c>
      <c r="C137" s="137">
        <f>Calculation!G56*3600</f>
        <v>0</v>
      </c>
      <c r="D137" s="137"/>
      <c r="E137" s="137">
        <f>Calculation!G113</f>
        <v>0</v>
      </c>
      <c r="F137" s="137"/>
      <c r="G137" s="138" t="e">
        <f>Calculation!#REF!</f>
        <v>#REF!</v>
      </c>
      <c r="H137" s="136"/>
      <c r="I137" s="138" t="e">
        <f>Calculation!#REF!</f>
        <v>#REF!</v>
      </c>
      <c r="J137" s="136"/>
    </row>
    <row r="138" spans="2:10">
      <c r="B138" s="29">
        <v>7</v>
      </c>
      <c r="C138" s="137">
        <f>Calculation!G57*3600</f>
        <v>0</v>
      </c>
      <c r="D138" s="137"/>
      <c r="E138" s="137">
        <f>Calculation!G114</f>
        <v>0</v>
      </c>
      <c r="F138" s="137"/>
      <c r="G138" s="138" t="e">
        <f>Calculation!#REF!</f>
        <v>#REF!</v>
      </c>
      <c r="H138" s="136"/>
      <c r="I138" s="138" t="e">
        <f>Calculation!#REF!</f>
        <v>#REF!</v>
      </c>
      <c r="J138" s="136"/>
    </row>
    <row r="139" spans="2:10">
      <c r="B139" s="29">
        <v>8</v>
      </c>
      <c r="C139" s="135"/>
      <c r="D139" s="135"/>
      <c r="E139" s="135"/>
      <c r="F139" s="135"/>
      <c r="G139" s="136"/>
      <c r="H139" s="136"/>
      <c r="I139" s="136"/>
      <c r="J139" s="136"/>
    </row>
    <row r="140" spans="2:10">
      <c r="B140" s="29">
        <v>9</v>
      </c>
      <c r="C140" s="135"/>
      <c r="D140" s="135"/>
      <c r="E140" s="135"/>
      <c r="F140" s="135"/>
      <c r="G140" s="136"/>
      <c r="H140" s="136"/>
      <c r="I140" s="136"/>
      <c r="J140" s="136"/>
    </row>
    <row r="141" spans="2:10">
      <c r="B141" s="29">
        <v>10</v>
      </c>
      <c r="C141" s="135"/>
      <c r="D141" s="135"/>
      <c r="E141" s="135"/>
      <c r="F141" s="135"/>
      <c r="G141" s="136"/>
      <c r="H141" s="136"/>
      <c r="I141" s="136"/>
      <c r="J141" s="136"/>
    </row>
    <row r="142" spans="2:10">
      <c r="B142" s="31"/>
      <c r="C142" s="32"/>
      <c r="D142" s="32"/>
      <c r="E142" s="32"/>
      <c r="F142" s="32"/>
      <c r="G142" s="33"/>
      <c r="H142" s="33"/>
      <c r="I142" s="33"/>
      <c r="J142" s="33"/>
    </row>
    <row r="183" spans="4:10">
      <c r="D183" s="30" t="s">
        <v>90</v>
      </c>
    </row>
    <row r="185" spans="4:10">
      <c r="D185" s="30"/>
      <c r="E185" s="30"/>
      <c r="F185" s="30"/>
      <c r="G185" s="30"/>
      <c r="H185" s="30"/>
      <c r="I185" s="30"/>
      <c r="J185" s="30"/>
    </row>
  </sheetData>
  <mergeCells count="184">
    <mergeCell ref="I107:J107"/>
    <mergeCell ref="I108:J108"/>
    <mergeCell ref="I109:J109"/>
    <mergeCell ref="E108:F108"/>
    <mergeCell ref="I97:J97"/>
    <mergeCell ref="I98:J98"/>
    <mergeCell ref="I99:J99"/>
    <mergeCell ref="B95:J95"/>
    <mergeCell ref="B92:H92"/>
    <mergeCell ref="B96:H96"/>
    <mergeCell ref="B97:H97"/>
    <mergeCell ref="B98:H98"/>
    <mergeCell ref="B99:H99"/>
    <mergeCell ref="D1:I1"/>
    <mergeCell ref="B82:J82"/>
    <mergeCell ref="B72:J72"/>
    <mergeCell ref="B48:J48"/>
    <mergeCell ref="B49:J49"/>
    <mergeCell ref="C55:G55"/>
    <mergeCell ref="C56:G56"/>
    <mergeCell ref="C57:G57"/>
    <mergeCell ref="H54:I54"/>
    <mergeCell ref="H55:I55"/>
    <mergeCell ref="H56:I56"/>
    <mergeCell ref="H57:I57"/>
    <mergeCell ref="F53:I53"/>
    <mergeCell ref="C53:E53"/>
    <mergeCell ref="C54:E54"/>
    <mergeCell ref="C17:E17"/>
    <mergeCell ref="C19:E19"/>
    <mergeCell ref="C23:E23"/>
    <mergeCell ref="C15:E15"/>
    <mergeCell ref="I111:J111"/>
    <mergeCell ref="I112:J112"/>
    <mergeCell ref="I113:J113"/>
    <mergeCell ref="B12:J12"/>
    <mergeCell ref="B13:J13"/>
    <mergeCell ref="B45:J45"/>
    <mergeCell ref="B46:J46"/>
    <mergeCell ref="G110:H110"/>
    <mergeCell ref="C106:D106"/>
    <mergeCell ref="E106:F106"/>
    <mergeCell ref="B88:J88"/>
    <mergeCell ref="I89:J89"/>
    <mergeCell ref="I90:J90"/>
    <mergeCell ref="I91:J91"/>
    <mergeCell ref="I92:J92"/>
    <mergeCell ref="B89:H89"/>
    <mergeCell ref="B90:H90"/>
    <mergeCell ref="B91:H91"/>
    <mergeCell ref="I106:J106"/>
    <mergeCell ref="I96:J96"/>
    <mergeCell ref="C107:D107"/>
    <mergeCell ref="E107:F107"/>
    <mergeCell ref="C108:D108"/>
    <mergeCell ref="G109:H109"/>
    <mergeCell ref="C124:D124"/>
    <mergeCell ref="E124:F124"/>
    <mergeCell ref="I123:J123"/>
    <mergeCell ref="I124:J124"/>
    <mergeCell ref="G111:H111"/>
    <mergeCell ref="G112:H112"/>
    <mergeCell ref="I114:J114"/>
    <mergeCell ref="I115:J115"/>
    <mergeCell ref="B100:H100"/>
    <mergeCell ref="I100:J100"/>
    <mergeCell ref="B105:J105"/>
    <mergeCell ref="G106:H106"/>
    <mergeCell ref="G107:H107"/>
    <mergeCell ref="G108:H108"/>
    <mergeCell ref="C114:D114"/>
    <mergeCell ref="E114:F114"/>
    <mergeCell ref="C115:D115"/>
    <mergeCell ref="E115:F115"/>
    <mergeCell ref="G114:H114"/>
    <mergeCell ref="G115:H115"/>
    <mergeCell ref="G113:H113"/>
    <mergeCell ref="C112:D112"/>
    <mergeCell ref="C113:D113"/>
    <mergeCell ref="I110:J110"/>
    <mergeCell ref="I83:J83"/>
    <mergeCell ref="I84:J84"/>
    <mergeCell ref="I85:J85"/>
    <mergeCell ref="B83:H83"/>
    <mergeCell ref="B84:H84"/>
    <mergeCell ref="B85:H85"/>
    <mergeCell ref="C125:D125"/>
    <mergeCell ref="E125:F125"/>
    <mergeCell ref="C126:D126"/>
    <mergeCell ref="E126:F126"/>
    <mergeCell ref="I125:J125"/>
    <mergeCell ref="I126:J126"/>
    <mergeCell ref="E118:F118"/>
    <mergeCell ref="G116:H116"/>
    <mergeCell ref="I116:J116"/>
    <mergeCell ref="I118:J118"/>
    <mergeCell ref="G118:H118"/>
    <mergeCell ref="B117:J117"/>
    <mergeCell ref="C116:D116"/>
    <mergeCell ref="E116:F116"/>
    <mergeCell ref="C118:D118"/>
    <mergeCell ref="I122:J122"/>
    <mergeCell ref="G121:H121"/>
    <mergeCell ref="G122:H122"/>
    <mergeCell ref="C128:D128"/>
    <mergeCell ref="E128:F128"/>
    <mergeCell ref="I127:J127"/>
    <mergeCell ref="I128:J128"/>
    <mergeCell ref="G127:H127"/>
    <mergeCell ref="G128:H128"/>
    <mergeCell ref="E109:F109"/>
    <mergeCell ref="E110:F110"/>
    <mergeCell ref="E111:F111"/>
    <mergeCell ref="E112:F112"/>
    <mergeCell ref="E113:F113"/>
    <mergeCell ref="C109:D109"/>
    <mergeCell ref="C110:D110"/>
    <mergeCell ref="C111:D111"/>
    <mergeCell ref="C127:D127"/>
    <mergeCell ref="E127:F127"/>
    <mergeCell ref="C122:D122"/>
    <mergeCell ref="E122:F122"/>
    <mergeCell ref="G123:H123"/>
    <mergeCell ref="G124:H124"/>
    <mergeCell ref="C121:D121"/>
    <mergeCell ref="E121:F121"/>
    <mergeCell ref="C123:D123"/>
    <mergeCell ref="E123:F123"/>
    <mergeCell ref="C133:D133"/>
    <mergeCell ref="E133:F133"/>
    <mergeCell ref="G133:H133"/>
    <mergeCell ref="I133:J133"/>
    <mergeCell ref="G125:H125"/>
    <mergeCell ref="G126:H126"/>
    <mergeCell ref="C119:D119"/>
    <mergeCell ref="E119:F119"/>
    <mergeCell ref="C120:D120"/>
    <mergeCell ref="E120:F120"/>
    <mergeCell ref="I119:J119"/>
    <mergeCell ref="I120:J120"/>
    <mergeCell ref="G119:H119"/>
    <mergeCell ref="G120:H120"/>
    <mergeCell ref="C131:D131"/>
    <mergeCell ref="E131:F131"/>
    <mergeCell ref="G131:H131"/>
    <mergeCell ref="I131:J131"/>
    <mergeCell ref="C132:D132"/>
    <mergeCell ref="E132:F132"/>
    <mergeCell ref="G132:H132"/>
    <mergeCell ref="I132:J132"/>
    <mergeCell ref="B129:J130"/>
    <mergeCell ref="I121:J121"/>
    <mergeCell ref="C134:D134"/>
    <mergeCell ref="E134:F134"/>
    <mergeCell ref="G134:H134"/>
    <mergeCell ref="I134:J134"/>
    <mergeCell ref="C135:D135"/>
    <mergeCell ref="E135:F135"/>
    <mergeCell ref="G135:H135"/>
    <mergeCell ref="I135:J135"/>
    <mergeCell ref="C136:D136"/>
    <mergeCell ref="E136:F136"/>
    <mergeCell ref="G136:H136"/>
    <mergeCell ref="I136:J136"/>
    <mergeCell ref="C140:D140"/>
    <mergeCell ref="E140:F140"/>
    <mergeCell ref="G140:H140"/>
    <mergeCell ref="I140:J140"/>
    <mergeCell ref="C141:D141"/>
    <mergeCell ref="E141:F141"/>
    <mergeCell ref="G141:H141"/>
    <mergeCell ref="I141:J141"/>
    <mergeCell ref="C137:D137"/>
    <mergeCell ref="E137:F137"/>
    <mergeCell ref="G137:H137"/>
    <mergeCell ref="I137:J137"/>
    <mergeCell ref="C138:D138"/>
    <mergeCell ref="E138:F138"/>
    <mergeCell ref="G138:H138"/>
    <mergeCell ref="I138:J138"/>
    <mergeCell ref="C139:D139"/>
    <mergeCell ref="E139:F139"/>
    <mergeCell ref="G139:H139"/>
    <mergeCell ref="I139:J13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6EB9-532F-4F5E-96A7-A975DDDB8979}">
  <dimension ref="A1:AA91"/>
  <sheetViews>
    <sheetView topLeftCell="A25" zoomScaleNormal="100" workbookViewId="0">
      <selection activeCell="C20" sqref="C20"/>
    </sheetView>
  </sheetViews>
  <sheetFormatPr defaultRowHeight="15.6"/>
  <cols>
    <col min="2" max="2" width="20.09765625" customWidth="1"/>
    <col min="4" max="9" width="5.59765625" customWidth="1"/>
    <col min="10" max="10" width="5.8984375" customWidth="1"/>
    <col min="11" max="11" width="6.19921875" customWidth="1"/>
    <col min="12" max="13" width="5.59765625" customWidth="1"/>
    <col min="14" max="14" width="10.5976562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/>
    <row r="6" spans="1:14" ht="17.399999999999999">
      <c r="A6" s="202" t="s">
        <v>114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7" spans="1:14">
      <c r="A7" s="203" t="s">
        <v>115</v>
      </c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</row>
    <row r="8" spans="1:14">
      <c r="A8" s="204" t="s">
        <v>116</v>
      </c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</row>
    <row r="9" spans="1:14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</row>
    <row r="11" spans="1:14" ht="21.9" customHeight="1">
      <c r="A11" s="208" t="s">
        <v>197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</row>
    <row r="12" spans="1:14" ht="20.100000000000001" customHeight="1">
      <c r="A12" s="200" t="s">
        <v>199</v>
      </c>
      <c r="B12" s="200"/>
      <c r="C12" s="207"/>
      <c r="D12" s="207"/>
      <c r="E12" s="207"/>
      <c r="F12" s="38"/>
      <c r="G12" s="209" t="s">
        <v>203</v>
      </c>
      <c r="H12" s="209"/>
      <c r="I12" s="209"/>
      <c r="J12" s="209"/>
      <c r="K12" s="209"/>
      <c r="L12" s="123"/>
      <c r="M12" s="123"/>
      <c r="N12" s="123"/>
    </row>
    <row r="13" spans="1:14" ht="20.100000000000001" customHeight="1">
      <c r="A13" s="200" t="s">
        <v>200</v>
      </c>
      <c r="B13" s="200"/>
      <c r="C13" s="207"/>
      <c r="D13" s="207"/>
      <c r="E13" s="207"/>
      <c r="F13" s="41"/>
      <c r="G13" s="199" t="s">
        <v>204</v>
      </c>
      <c r="H13" s="199"/>
      <c r="I13" s="199"/>
      <c r="J13" s="199"/>
      <c r="K13" s="199"/>
      <c r="L13" s="123"/>
      <c r="M13" s="123"/>
      <c r="N13" s="123"/>
    </row>
    <row r="14" spans="1:14" ht="20.100000000000001" customHeight="1">
      <c r="A14" s="206" t="s">
        <v>198</v>
      </c>
      <c r="B14" s="206"/>
      <c r="C14" s="190"/>
      <c r="D14" s="190"/>
      <c r="E14" s="190"/>
      <c r="F14" s="37"/>
      <c r="G14" s="199" t="s">
        <v>205</v>
      </c>
      <c r="H14" s="199"/>
      <c r="I14" s="199"/>
      <c r="J14" s="199"/>
      <c r="K14" s="199"/>
      <c r="L14" s="123"/>
      <c r="M14" s="123"/>
      <c r="N14" s="123"/>
    </row>
    <row r="15" spans="1:14" ht="20.100000000000001" customHeight="1">
      <c r="A15" s="206" t="s">
        <v>201</v>
      </c>
      <c r="B15" s="206"/>
      <c r="C15" s="190"/>
      <c r="D15" s="190"/>
      <c r="E15" s="190"/>
      <c r="F15" s="37"/>
      <c r="G15" s="200" t="s">
        <v>206</v>
      </c>
      <c r="H15" s="200"/>
      <c r="I15" s="200"/>
      <c r="J15" s="200"/>
      <c r="K15" s="200"/>
      <c r="L15" s="123"/>
      <c r="M15" s="123"/>
      <c r="N15" s="123"/>
    </row>
    <row r="16" spans="1:14" ht="20.100000000000001" customHeight="1">
      <c r="A16" s="206" t="s">
        <v>202</v>
      </c>
      <c r="B16" s="206"/>
      <c r="C16" s="205"/>
      <c r="D16" s="205"/>
      <c r="E16" s="205"/>
      <c r="F16" s="73"/>
      <c r="G16" s="200" t="s">
        <v>207</v>
      </c>
      <c r="H16" s="200"/>
      <c r="I16" s="200"/>
      <c r="J16" s="200"/>
      <c r="K16" s="200"/>
      <c r="L16" s="123"/>
      <c r="M16" s="123"/>
      <c r="N16" s="123"/>
    </row>
    <row r="17" spans="1:13" ht="21.9" customHeight="1"/>
    <row r="18" spans="1:13" ht="30" customHeight="1">
      <c r="A18" s="193" t="s">
        <v>135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</row>
    <row r="19" spans="1:13" ht="30" customHeight="1">
      <c r="A19" s="192" t="s">
        <v>157</v>
      </c>
      <c r="B19" s="192"/>
      <c r="C19" s="74" t="s">
        <v>158</v>
      </c>
      <c r="D19" s="42">
        <v>1</v>
      </c>
      <c r="E19" s="42">
        <v>2</v>
      </c>
      <c r="F19" s="42">
        <v>3</v>
      </c>
      <c r="G19" s="42">
        <v>4</v>
      </c>
      <c r="H19" s="42">
        <v>5</v>
      </c>
      <c r="I19" s="42">
        <v>6</v>
      </c>
      <c r="J19" s="42">
        <v>7</v>
      </c>
      <c r="K19" s="42">
        <v>8</v>
      </c>
      <c r="L19" s="42">
        <v>9</v>
      </c>
      <c r="M19" s="42">
        <v>10</v>
      </c>
    </row>
    <row r="20" spans="1:13" ht="35.1" customHeight="1">
      <c r="A20" s="191" t="s">
        <v>159</v>
      </c>
      <c r="B20" s="191"/>
      <c r="C20" s="75" t="s">
        <v>156</v>
      </c>
      <c r="D20" s="76"/>
      <c r="E20" s="76"/>
      <c r="F20" s="76"/>
      <c r="G20" s="76"/>
      <c r="H20" s="76"/>
      <c r="I20" s="76"/>
      <c r="J20" s="76"/>
      <c r="K20" s="76"/>
      <c r="L20" s="76"/>
      <c r="M20" s="76"/>
    </row>
    <row r="21" spans="1:13" ht="35.1" customHeight="1">
      <c r="A21" s="191" t="s">
        <v>160</v>
      </c>
      <c r="B21" s="191"/>
      <c r="C21" s="75" t="s">
        <v>36</v>
      </c>
      <c r="D21" s="76"/>
      <c r="E21" s="76"/>
      <c r="F21" s="76"/>
      <c r="G21" s="76"/>
      <c r="H21" s="76"/>
      <c r="I21" s="76"/>
      <c r="J21" s="76"/>
      <c r="K21" s="76"/>
      <c r="L21" s="76"/>
      <c r="M21" s="76"/>
    </row>
    <row r="22" spans="1:13" ht="35.1" customHeight="1">
      <c r="A22" s="191" t="s">
        <v>161</v>
      </c>
      <c r="B22" s="191"/>
      <c r="C22" s="75" t="s">
        <v>36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</row>
    <row r="23" spans="1:13" ht="35.1" customHeight="1">
      <c r="A23" s="191" t="s">
        <v>162</v>
      </c>
      <c r="B23" s="191"/>
      <c r="C23" s="75" t="s">
        <v>37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</row>
    <row r="24" spans="1:13" ht="35.1" customHeight="1">
      <c r="A24" s="191" t="s">
        <v>163</v>
      </c>
      <c r="B24" s="191"/>
      <c r="C24" s="75" t="s">
        <v>117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</row>
    <row r="25" spans="1:13" ht="35.1" customHeight="1">
      <c r="A25" s="191" t="s">
        <v>164</v>
      </c>
      <c r="B25" s="191"/>
      <c r="C25" s="75" t="s">
        <v>117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</row>
    <row r="26" spans="1:13" ht="24.9" customHeight="1">
      <c r="A26" s="201"/>
      <c r="B26" s="201"/>
    </row>
    <row r="27" spans="1:13" ht="24.9" customHeight="1"/>
    <row r="28" spans="1:13" ht="24.9" customHeight="1"/>
    <row r="29" spans="1:13" ht="24.9" customHeight="1"/>
    <row r="30" spans="1:13" ht="24.9" customHeight="1"/>
    <row r="32" spans="1:13">
      <c r="A32" s="196" t="s">
        <v>119</v>
      </c>
      <c r="B32" s="196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</row>
    <row r="33" spans="1:1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</row>
    <row r="34" spans="1:1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 spans="1:1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spans="1:1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spans="1:1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1:1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 spans="1:1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spans="1:1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1:1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spans="1:1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1:1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spans="1:1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spans="1:1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spans="1:1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spans="1:13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 spans="1:1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spans="1:13">
      <c r="A57" s="44"/>
      <c r="B57" s="44"/>
      <c r="C57" s="44"/>
      <c r="D57" s="45"/>
      <c r="E57" s="45"/>
      <c r="F57" s="45"/>
      <c r="G57" s="45"/>
      <c r="H57" s="45"/>
      <c r="I57" s="45"/>
      <c r="J57" s="45"/>
      <c r="K57" s="45"/>
      <c r="L57" s="45"/>
      <c r="M57" s="45"/>
    </row>
    <row r="58" spans="1:13">
      <c r="A58" s="44"/>
      <c r="B58" s="44"/>
      <c r="C58" s="44"/>
      <c r="D58" s="45"/>
      <c r="E58" s="45"/>
      <c r="F58" s="45"/>
      <c r="G58" s="45"/>
      <c r="H58" s="45"/>
      <c r="I58" s="45"/>
      <c r="J58" s="45"/>
      <c r="K58" s="45"/>
      <c r="L58" s="45"/>
      <c r="M58" s="45"/>
    </row>
    <row r="59" spans="1:13">
      <c r="A59" s="46"/>
      <c r="B59" s="46"/>
      <c r="C59" s="46"/>
      <c r="D59" s="195"/>
      <c r="E59" s="195"/>
      <c r="F59" s="195"/>
      <c r="G59" s="195"/>
      <c r="H59" s="47"/>
      <c r="I59" s="195"/>
      <c r="J59" s="195"/>
      <c r="K59" s="195"/>
      <c r="L59" s="195"/>
      <c r="M59" s="195"/>
    </row>
    <row r="60" spans="1:13">
      <c r="A60" s="46"/>
      <c r="B60" s="46"/>
      <c r="C60" s="46"/>
      <c r="D60" s="195"/>
      <c r="E60" s="195"/>
      <c r="F60" s="195"/>
      <c r="G60" s="195"/>
      <c r="H60" s="47"/>
      <c r="I60" s="195"/>
      <c r="J60" s="195"/>
      <c r="K60" s="195"/>
      <c r="L60" s="195"/>
      <c r="M60" s="195"/>
    </row>
    <row r="61" spans="1:13">
      <c r="A61" s="46"/>
      <c r="B61" s="46"/>
      <c r="C61" s="46"/>
      <c r="D61" s="195"/>
      <c r="E61" s="195"/>
      <c r="F61" s="195"/>
      <c r="G61" s="195"/>
      <c r="H61" s="47"/>
      <c r="I61" s="195"/>
      <c r="J61" s="195"/>
      <c r="K61" s="195"/>
      <c r="L61" s="195"/>
      <c r="M61" s="195"/>
    </row>
    <row r="62" spans="1:13">
      <c r="A62" s="46"/>
      <c r="B62" s="46"/>
      <c r="C62" s="46"/>
      <c r="D62" s="195"/>
      <c r="E62" s="195"/>
      <c r="F62" s="195"/>
      <c r="G62" s="195"/>
      <c r="H62" s="47"/>
      <c r="I62" s="195"/>
      <c r="J62" s="195"/>
      <c r="K62" s="195"/>
      <c r="L62" s="195"/>
      <c r="M62" s="195"/>
    </row>
    <row r="63" spans="1:13">
      <c r="A63" s="46"/>
      <c r="B63" s="46"/>
      <c r="C63" s="46"/>
      <c r="D63" s="195"/>
      <c r="E63" s="195"/>
      <c r="F63" s="195"/>
      <c r="G63" s="195"/>
      <c r="H63" s="47"/>
      <c r="I63" s="195"/>
      <c r="J63" s="195"/>
      <c r="K63" s="195"/>
      <c r="L63" s="195"/>
      <c r="M63" s="195"/>
    </row>
    <row r="64" spans="1:13">
      <c r="A64" s="46"/>
      <c r="B64" s="46"/>
      <c r="C64" s="46"/>
      <c r="D64" s="195"/>
      <c r="E64" s="195"/>
      <c r="F64" s="195"/>
      <c r="G64" s="195"/>
      <c r="H64" s="47"/>
      <c r="I64" s="195"/>
      <c r="J64" s="195"/>
      <c r="K64" s="195"/>
      <c r="L64" s="195"/>
      <c r="M64" s="195"/>
    </row>
    <row r="65" spans="1:13">
      <c r="A65" s="46"/>
      <c r="B65" s="46"/>
      <c r="C65" s="46"/>
      <c r="D65" s="195"/>
      <c r="E65" s="195"/>
      <c r="F65" s="195"/>
      <c r="G65" s="195"/>
      <c r="H65" s="47"/>
      <c r="I65" s="195"/>
      <c r="J65" s="195"/>
      <c r="K65" s="195"/>
      <c r="L65" s="195"/>
      <c r="M65" s="195"/>
    </row>
    <row r="66" spans="1:1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</row>
    <row r="67" spans="1:1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</row>
    <row r="68" spans="1:1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spans="1:1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spans="1:1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spans="1:13">
      <c r="A71" s="196" t="s">
        <v>120</v>
      </c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</row>
    <row r="72" spans="1:13">
      <c r="A72" s="52"/>
      <c r="B72" s="48"/>
      <c r="C72" s="48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 spans="1:13">
      <c r="A73" s="52"/>
      <c r="B73" s="48"/>
      <c r="C73" s="48"/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 spans="1:1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 spans="1:13">
      <c r="A75" s="197" t="s">
        <v>121</v>
      </c>
      <c r="B75" s="197"/>
      <c r="C75" s="197"/>
      <c r="D75" s="197"/>
      <c r="E75" s="197"/>
      <c r="F75" s="198" t="s">
        <v>122</v>
      </c>
      <c r="G75" s="198"/>
      <c r="H75" s="198"/>
      <c r="I75" s="198"/>
      <c r="J75" s="198"/>
      <c r="K75" s="198" t="s">
        <v>123</v>
      </c>
      <c r="L75" s="198"/>
      <c r="M75" s="198"/>
    </row>
    <row r="76" spans="1:13">
      <c r="A76" s="194" t="s">
        <v>124</v>
      </c>
      <c r="B76" s="194"/>
      <c r="C76" s="194"/>
      <c r="D76" s="194"/>
      <c r="E76" s="194"/>
      <c r="F76" s="194" t="s">
        <v>125</v>
      </c>
      <c r="G76" s="194"/>
      <c r="H76" s="194"/>
      <c r="I76" s="194"/>
      <c r="J76" s="194"/>
      <c r="K76" s="194" t="s">
        <v>126</v>
      </c>
      <c r="L76" s="194"/>
      <c r="M76" s="194"/>
    </row>
    <row r="82" spans="15:27"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</row>
    <row r="83" spans="15:27">
      <c r="O83" s="57"/>
      <c r="P83" s="57"/>
      <c r="Q83" s="53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 spans="15:27">
      <c r="O84" s="57"/>
      <c r="P84" s="57"/>
      <c r="Q84" s="53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 spans="15:27">
      <c r="O85" s="57"/>
      <c r="P85" s="57"/>
      <c r="Q85" s="53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 spans="15:27">
      <c r="O86" s="57"/>
      <c r="P86" s="57"/>
      <c r="Q86" s="53"/>
    </row>
    <row r="87" spans="15:27">
      <c r="O87" s="57"/>
      <c r="P87" s="57"/>
      <c r="Q87" s="53"/>
    </row>
    <row r="88" spans="15:27">
      <c r="O88" s="57"/>
      <c r="P88" s="57"/>
      <c r="Q88" s="53"/>
      <c r="R88" s="55"/>
      <c r="S88" s="55"/>
      <c r="T88" s="55"/>
      <c r="U88" s="55"/>
      <c r="V88" s="55"/>
      <c r="W88" s="56"/>
      <c r="X88" s="56"/>
      <c r="Y88" s="56"/>
      <c r="Z88" s="56"/>
      <c r="AA88" s="55"/>
    </row>
    <row r="89" spans="15:27">
      <c r="O89" s="57"/>
      <c r="P89" s="57"/>
      <c r="Q89" s="53"/>
      <c r="R89" s="56"/>
      <c r="S89" s="56"/>
      <c r="T89" s="55"/>
      <c r="U89" s="55"/>
      <c r="V89" s="55"/>
      <c r="W89" s="56"/>
      <c r="X89" s="56"/>
      <c r="Y89" s="56"/>
      <c r="Z89" s="56"/>
      <c r="AA89" s="56"/>
    </row>
    <row r="90" spans="15:27">
      <c r="O90" s="57"/>
      <c r="P90" s="57"/>
      <c r="Q90" s="53"/>
      <c r="R90" s="56"/>
      <c r="S90" s="56"/>
      <c r="T90" s="55"/>
      <c r="U90" s="55"/>
      <c r="V90" s="55"/>
      <c r="W90" s="56"/>
      <c r="X90" s="56"/>
      <c r="Y90" s="56"/>
      <c r="Z90" s="56"/>
      <c r="AA90" s="56"/>
    </row>
    <row r="91" spans="15:27">
      <c r="O91" s="57"/>
      <c r="P91" s="57"/>
      <c r="Q91" s="53"/>
      <c r="R91" s="56"/>
      <c r="S91" s="56"/>
      <c r="T91" s="55"/>
      <c r="U91" s="55"/>
      <c r="V91" s="55"/>
      <c r="W91" s="56"/>
      <c r="X91" s="56"/>
      <c r="Y91" s="56"/>
      <c r="Z91" s="56"/>
      <c r="AA91" s="56"/>
    </row>
  </sheetData>
  <mergeCells count="64">
    <mergeCell ref="A11:N11"/>
    <mergeCell ref="A12:B12"/>
    <mergeCell ref="A13:B13"/>
    <mergeCell ref="G12:K12"/>
    <mergeCell ref="G13:K13"/>
    <mergeCell ref="G14:K14"/>
    <mergeCell ref="G15:K15"/>
    <mergeCell ref="G16:K16"/>
    <mergeCell ref="A26:B26"/>
    <mergeCell ref="A6:M6"/>
    <mergeCell ref="A7:M7"/>
    <mergeCell ref="A8:M8"/>
    <mergeCell ref="C16:E16"/>
    <mergeCell ref="A14:B14"/>
    <mergeCell ref="A15:B15"/>
    <mergeCell ref="A16:B16"/>
    <mergeCell ref="C12:E12"/>
    <mergeCell ref="C13:E13"/>
    <mergeCell ref="C14:E14"/>
    <mergeCell ref="A25:B25"/>
    <mergeCell ref="A24:B24"/>
    <mergeCell ref="D60:E60"/>
    <mergeCell ref="F60:G60"/>
    <mergeCell ref="I60:J60"/>
    <mergeCell ref="K60:M60"/>
    <mergeCell ref="A32:M32"/>
    <mergeCell ref="D59:E59"/>
    <mergeCell ref="F59:G59"/>
    <mergeCell ref="I59:J59"/>
    <mergeCell ref="K59:M59"/>
    <mergeCell ref="D61:E61"/>
    <mergeCell ref="F61:G61"/>
    <mergeCell ref="I61:J61"/>
    <mergeCell ref="K61:M61"/>
    <mergeCell ref="D62:E62"/>
    <mergeCell ref="F62:G62"/>
    <mergeCell ref="I62:J62"/>
    <mergeCell ref="K62:M62"/>
    <mergeCell ref="K63:M63"/>
    <mergeCell ref="D64:E64"/>
    <mergeCell ref="F64:G64"/>
    <mergeCell ref="I64:J64"/>
    <mergeCell ref="K64:M64"/>
    <mergeCell ref="D63:E63"/>
    <mergeCell ref="F63:G63"/>
    <mergeCell ref="I63:J63"/>
    <mergeCell ref="A76:E76"/>
    <mergeCell ref="F76:J76"/>
    <mergeCell ref="K76:M76"/>
    <mergeCell ref="D65:E65"/>
    <mergeCell ref="F65:G65"/>
    <mergeCell ref="I65:J65"/>
    <mergeCell ref="K65:M65"/>
    <mergeCell ref="A71:M71"/>
    <mergeCell ref="A75:E75"/>
    <mergeCell ref="F75:J75"/>
    <mergeCell ref="K75:M75"/>
    <mergeCell ref="C15:E15"/>
    <mergeCell ref="A23:B23"/>
    <mergeCell ref="A21:B21"/>
    <mergeCell ref="A22:B22"/>
    <mergeCell ref="A19:B19"/>
    <mergeCell ref="A18:M18"/>
    <mergeCell ref="A20:B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93AE-B8D2-4712-9933-AE27ED581F39}">
  <dimension ref="A1:AA93"/>
  <sheetViews>
    <sheetView topLeftCell="A10" zoomScale="115" zoomScaleNormal="115" workbookViewId="0">
      <selection activeCell="I23" sqref="I23"/>
    </sheetView>
  </sheetViews>
  <sheetFormatPr defaultRowHeight="15.6"/>
  <cols>
    <col min="4" max="13" width="5.5976562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/>
    <row r="6" spans="1:14" ht="17.399999999999999">
      <c r="A6" s="202" t="s">
        <v>114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7" spans="1:14">
      <c r="A7" s="203" t="s">
        <v>115</v>
      </c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</row>
    <row r="8" spans="1:14">
      <c r="A8" s="204" t="s">
        <v>116</v>
      </c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</row>
    <row r="9" spans="1:14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</row>
    <row r="11" spans="1:14" ht="21.9" customHeight="1">
      <c r="A11" s="208" t="s">
        <v>197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</row>
    <row r="12" spans="1:14" ht="20.100000000000001" customHeight="1">
      <c r="A12" s="200" t="s">
        <v>199</v>
      </c>
      <c r="B12" s="200"/>
      <c r="C12" s="207"/>
      <c r="D12" s="207"/>
      <c r="E12" s="207"/>
      <c r="F12" s="38"/>
      <c r="G12" s="209" t="s">
        <v>203</v>
      </c>
      <c r="H12" s="209"/>
      <c r="I12" s="209"/>
      <c r="J12" s="209"/>
      <c r="K12" s="209"/>
      <c r="L12" s="210"/>
      <c r="M12" s="210"/>
      <c r="N12" s="210"/>
    </row>
    <row r="13" spans="1:14" ht="20.100000000000001" customHeight="1">
      <c r="A13" s="200" t="s">
        <v>200</v>
      </c>
      <c r="B13" s="200"/>
      <c r="C13" s="207"/>
      <c r="D13" s="207"/>
      <c r="E13" s="207"/>
      <c r="F13" s="41"/>
      <c r="G13" s="199" t="s">
        <v>204</v>
      </c>
      <c r="H13" s="199"/>
      <c r="I13" s="199"/>
      <c r="J13" s="199"/>
      <c r="K13" s="199"/>
      <c r="L13" s="210"/>
      <c r="M13" s="210"/>
      <c r="N13" s="210"/>
    </row>
    <row r="14" spans="1:14" ht="20.100000000000001" customHeight="1">
      <c r="A14" s="206" t="s">
        <v>198</v>
      </c>
      <c r="B14" s="206"/>
      <c r="C14" s="190"/>
      <c r="D14" s="190"/>
      <c r="E14" s="190"/>
      <c r="F14" s="37"/>
      <c r="G14" s="199" t="s">
        <v>205</v>
      </c>
      <c r="H14" s="199"/>
      <c r="I14" s="199"/>
      <c r="J14" s="199"/>
      <c r="K14" s="199"/>
      <c r="L14" s="210"/>
      <c r="M14" s="210"/>
      <c r="N14" s="210"/>
    </row>
    <row r="15" spans="1:14" ht="20.100000000000001" customHeight="1">
      <c r="A15" s="206" t="s">
        <v>201</v>
      </c>
      <c r="B15" s="206"/>
      <c r="C15" s="190"/>
      <c r="D15" s="190"/>
      <c r="E15" s="190"/>
      <c r="F15" s="37"/>
      <c r="G15" s="200" t="s">
        <v>206</v>
      </c>
      <c r="H15" s="200"/>
      <c r="I15" s="200"/>
      <c r="J15" s="200"/>
      <c r="K15" s="200"/>
      <c r="L15" s="210"/>
      <c r="M15" s="210"/>
      <c r="N15" s="210"/>
    </row>
    <row r="16" spans="1:14" ht="20.100000000000001" customHeight="1">
      <c r="A16" s="206" t="s">
        <v>202</v>
      </c>
      <c r="B16" s="206"/>
      <c r="C16" s="205"/>
      <c r="D16" s="205"/>
      <c r="E16" s="205"/>
      <c r="F16" s="73"/>
      <c r="G16" s="200" t="s">
        <v>207</v>
      </c>
      <c r="H16" s="200"/>
      <c r="I16" s="200"/>
      <c r="J16" s="200"/>
      <c r="K16" s="200"/>
      <c r="L16" s="210"/>
      <c r="M16" s="210"/>
      <c r="N16" s="210"/>
    </row>
    <row r="17" spans="1:13" ht="21.9" customHeight="1"/>
    <row r="18" spans="1:13" ht="30" customHeight="1">
      <c r="A18" s="193" t="s">
        <v>171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</row>
    <row r="19" spans="1:13" ht="30" customHeight="1">
      <c r="A19" s="192" t="s">
        <v>157</v>
      </c>
      <c r="B19" s="192"/>
      <c r="C19" s="74" t="s">
        <v>158</v>
      </c>
      <c r="D19" s="42">
        <v>1</v>
      </c>
      <c r="E19" s="42">
        <v>2</v>
      </c>
      <c r="F19" s="42">
        <v>3</v>
      </c>
      <c r="G19" s="42">
        <v>4</v>
      </c>
      <c r="H19" s="42">
        <v>5</v>
      </c>
      <c r="I19" s="42">
        <v>6</v>
      </c>
      <c r="J19" s="42">
        <v>7</v>
      </c>
      <c r="K19" s="42">
        <v>8</v>
      </c>
      <c r="L19" s="42">
        <v>9</v>
      </c>
      <c r="M19" s="42">
        <v>10</v>
      </c>
    </row>
    <row r="20" spans="1:13" ht="35.1" customHeight="1">
      <c r="A20" s="191" t="s">
        <v>159</v>
      </c>
      <c r="B20" s="191"/>
      <c r="C20" s="75" t="s">
        <v>118</v>
      </c>
      <c r="D20" s="76"/>
      <c r="E20" s="76"/>
      <c r="F20" s="76"/>
      <c r="G20" s="76"/>
      <c r="H20" s="76"/>
      <c r="I20" s="76"/>
      <c r="J20" s="76"/>
      <c r="K20" s="76"/>
      <c r="L20" s="76"/>
      <c r="M20" s="76"/>
    </row>
    <row r="21" spans="1:13" ht="35.1" customHeight="1">
      <c r="A21" s="191" t="s">
        <v>160</v>
      </c>
      <c r="B21" s="191"/>
      <c r="C21" s="75" t="s">
        <v>36</v>
      </c>
      <c r="D21" s="76"/>
      <c r="E21" s="76"/>
      <c r="F21" s="76"/>
      <c r="G21" s="76"/>
      <c r="H21" s="76"/>
      <c r="I21" s="76"/>
      <c r="J21" s="76"/>
      <c r="K21" s="76"/>
      <c r="L21" s="76"/>
      <c r="M21" s="76"/>
    </row>
    <row r="22" spans="1:13" ht="35.1" customHeight="1">
      <c r="A22" s="191" t="s">
        <v>161</v>
      </c>
      <c r="B22" s="191"/>
      <c r="C22" s="75" t="s">
        <v>36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</row>
    <row r="23" spans="1:13" ht="35.1" customHeight="1">
      <c r="A23" s="191" t="s">
        <v>162</v>
      </c>
      <c r="B23" s="191"/>
      <c r="C23" s="75" t="s">
        <v>37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</row>
    <row r="24" spans="1:13" ht="35.1" customHeight="1">
      <c r="A24" s="191" t="s">
        <v>163</v>
      </c>
      <c r="B24" s="191"/>
      <c r="C24" s="75" t="s">
        <v>117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</row>
    <row r="25" spans="1:13" ht="35.1" customHeight="1">
      <c r="A25" s="191" t="s">
        <v>164</v>
      </c>
      <c r="B25" s="191"/>
      <c r="C25" s="75" t="s">
        <v>117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</row>
    <row r="26" spans="1:13" ht="17.399999999999999" customHeight="1">
      <c r="A26" s="201"/>
      <c r="B26" s="201"/>
    </row>
    <row r="27" spans="1:13" ht="17.399999999999999" customHeight="1">
      <c r="A27" s="115" t="s">
        <v>190</v>
      </c>
    </row>
    <row r="28" spans="1:13" ht="17.399999999999999" customHeight="1">
      <c r="A28" s="39"/>
    </row>
    <row r="29" spans="1:13" ht="17.399999999999999" customHeight="1">
      <c r="A29" s="116"/>
    </row>
    <row r="30" spans="1:13" ht="17.399999999999999" customHeight="1"/>
    <row r="31" spans="1:13" ht="17.399999999999999" customHeight="1"/>
    <row r="32" spans="1:13" ht="17.399999999999999" customHeight="1"/>
    <row r="33" spans="1:13" ht="17.399999999999999" customHeight="1"/>
    <row r="34" spans="1:13">
      <c r="A34" s="196" t="s">
        <v>119</v>
      </c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</row>
    <row r="35" spans="1:1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spans="1:1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spans="1:1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1:13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spans="1:1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 spans="1:1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spans="1:1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1:1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spans="1:1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1:1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spans="1:1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spans="1:1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spans="1:1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spans="1:1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</row>
    <row r="56" spans="1:1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spans="1:13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</row>
    <row r="58" spans="1:1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</row>
    <row r="59" spans="1:13">
      <c r="A59" s="44"/>
      <c r="B59" s="44"/>
      <c r="C59" s="44"/>
      <c r="D59" s="45"/>
      <c r="E59" s="45"/>
      <c r="F59" s="45"/>
      <c r="G59" s="45"/>
      <c r="H59" s="45"/>
      <c r="I59" s="45"/>
      <c r="J59" s="45"/>
      <c r="K59" s="45"/>
      <c r="L59" s="45"/>
      <c r="M59" s="45"/>
    </row>
    <row r="60" spans="1:13">
      <c r="A60" s="44"/>
      <c r="B60" s="44"/>
      <c r="C60" s="44"/>
      <c r="D60" s="45"/>
      <c r="E60" s="45"/>
      <c r="F60" s="45"/>
      <c r="G60" s="45"/>
      <c r="H60" s="45"/>
      <c r="I60" s="45"/>
      <c r="J60" s="45"/>
      <c r="K60" s="45"/>
      <c r="L60" s="45"/>
      <c r="M60" s="45"/>
    </row>
    <row r="61" spans="1:13">
      <c r="A61" s="46"/>
      <c r="B61" s="46"/>
      <c r="C61" s="46"/>
      <c r="D61" s="195"/>
      <c r="E61" s="195"/>
      <c r="F61" s="195"/>
      <c r="G61" s="195"/>
      <c r="H61" s="47"/>
      <c r="I61" s="195"/>
      <c r="J61" s="195"/>
      <c r="K61" s="195"/>
      <c r="L61" s="195"/>
      <c r="M61" s="195"/>
    </row>
    <row r="62" spans="1:13">
      <c r="A62" s="46"/>
      <c r="B62" s="46"/>
      <c r="C62" s="46"/>
      <c r="D62" s="195"/>
      <c r="E62" s="195"/>
      <c r="F62" s="195"/>
      <c r="G62" s="195"/>
      <c r="H62" s="47"/>
      <c r="I62" s="195"/>
      <c r="J62" s="195"/>
      <c r="K62" s="195"/>
      <c r="L62" s="195"/>
      <c r="M62" s="195"/>
    </row>
    <row r="63" spans="1:13">
      <c r="A63" s="46"/>
      <c r="B63" s="46"/>
      <c r="C63" s="46"/>
      <c r="D63" s="195"/>
      <c r="E63" s="195"/>
      <c r="F63" s="195"/>
      <c r="G63" s="195"/>
      <c r="H63" s="47"/>
      <c r="I63" s="195"/>
      <c r="J63" s="195"/>
      <c r="K63" s="195"/>
      <c r="L63" s="195"/>
      <c r="M63" s="195"/>
    </row>
    <row r="64" spans="1:13">
      <c r="A64" s="46"/>
      <c r="B64" s="46"/>
      <c r="C64" s="46"/>
      <c r="D64" s="195"/>
      <c r="E64" s="195"/>
      <c r="F64" s="195"/>
      <c r="G64" s="195"/>
      <c r="H64" s="47"/>
      <c r="I64" s="195"/>
      <c r="J64" s="195"/>
      <c r="K64" s="195"/>
      <c r="L64" s="195"/>
      <c r="M64" s="195"/>
    </row>
    <row r="65" spans="1:13">
      <c r="A65" s="46"/>
      <c r="B65" s="46"/>
      <c r="C65" s="46"/>
      <c r="D65" s="195"/>
      <c r="E65" s="195"/>
      <c r="F65" s="195"/>
      <c r="G65" s="195"/>
      <c r="H65" s="47"/>
      <c r="I65" s="195"/>
      <c r="J65" s="195"/>
      <c r="K65" s="195"/>
      <c r="L65" s="195"/>
      <c r="M65" s="195"/>
    </row>
    <row r="66" spans="1:13">
      <c r="A66" s="46"/>
      <c r="B66" s="46"/>
      <c r="C66" s="46"/>
      <c r="D66" s="195"/>
      <c r="E66" s="195"/>
      <c r="F66" s="195"/>
      <c r="G66" s="195"/>
      <c r="H66" s="47"/>
      <c r="I66" s="195"/>
      <c r="J66" s="195"/>
      <c r="K66" s="195"/>
      <c r="L66" s="195"/>
      <c r="M66" s="195"/>
    </row>
    <row r="67" spans="1:13">
      <c r="A67" s="46"/>
      <c r="B67" s="46"/>
      <c r="C67" s="46"/>
      <c r="D67" s="195"/>
      <c r="E67" s="195"/>
      <c r="F67" s="195"/>
      <c r="G67" s="195"/>
      <c r="H67" s="47"/>
      <c r="I67" s="195"/>
      <c r="J67" s="195"/>
      <c r="K67" s="195"/>
      <c r="L67" s="195"/>
      <c r="M67" s="195"/>
    </row>
    <row r="68" spans="1:1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spans="1:1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spans="1:1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spans="1:13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</row>
    <row r="72" spans="1:13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 spans="1:13">
      <c r="A73" s="196" t="s">
        <v>120</v>
      </c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</row>
    <row r="74" spans="1:13">
      <c r="A74" s="52"/>
      <c r="B74" s="48"/>
      <c r="C74" s="48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 spans="1:13">
      <c r="A75" s="52"/>
      <c r="B75" s="48"/>
      <c r="C75" s="48"/>
      <c r="D75" s="36"/>
      <c r="E75" s="36"/>
      <c r="F75" s="36"/>
      <c r="G75" s="36"/>
      <c r="H75" s="36"/>
      <c r="I75" s="36"/>
      <c r="J75" s="36"/>
      <c r="K75" s="36"/>
      <c r="L75" s="36"/>
      <c r="M75" s="36"/>
    </row>
    <row r="76" spans="1:13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</row>
    <row r="77" spans="1:13">
      <c r="A77" s="197" t="s">
        <v>121</v>
      </c>
      <c r="B77" s="197"/>
      <c r="C77" s="197"/>
      <c r="D77" s="197"/>
      <c r="E77" s="197"/>
      <c r="F77" s="198" t="s">
        <v>122</v>
      </c>
      <c r="G77" s="198"/>
      <c r="H77" s="198"/>
      <c r="I77" s="198"/>
      <c r="J77" s="198"/>
      <c r="K77" s="198" t="s">
        <v>123</v>
      </c>
      <c r="L77" s="198"/>
      <c r="M77" s="198"/>
    </row>
    <row r="78" spans="1:13">
      <c r="A78" s="194" t="s">
        <v>124</v>
      </c>
      <c r="B78" s="194"/>
      <c r="C78" s="194"/>
      <c r="D78" s="194"/>
      <c r="E78" s="194"/>
      <c r="F78" s="194" t="s">
        <v>125</v>
      </c>
      <c r="G78" s="194"/>
      <c r="H78" s="194"/>
      <c r="I78" s="194"/>
      <c r="J78" s="194"/>
      <c r="K78" s="194" t="s">
        <v>126</v>
      </c>
      <c r="L78" s="194"/>
      <c r="M78" s="194"/>
    </row>
    <row r="84" spans="15:27"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</row>
    <row r="85" spans="15:27">
      <c r="O85" s="57"/>
      <c r="P85" s="57"/>
      <c r="Q85" s="53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 spans="15:27">
      <c r="O86" s="57"/>
      <c r="P86" s="57"/>
      <c r="Q86" s="53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 spans="15:27">
      <c r="O87" s="57"/>
      <c r="P87" s="57"/>
      <c r="Q87" s="53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 spans="15:27">
      <c r="O88" s="57"/>
      <c r="P88" s="57"/>
      <c r="Q88" s="53"/>
    </row>
    <row r="89" spans="15:27">
      <c r="O89" s="57"/>
      <c r="P89" s="57"/>
      <c r="Q89" s="53"/>
    </row>
    <row r="90" spans="15:27">
      <c r="O90" s="57"/>
      <c r="P90" s="57"/>
      <c r="Q90" s="53"/>
      <c r="R90" s="55"/>
      <c r="S90" s="55"/>
      <c r="T90" s="55"/>
      <c r="U90" s="55"/>
      <c r="V90" s="55"/>
      <c r="W90" s="56"/>
      <c r="X90" s="56"/>
      <c r="Y90" s="56"/>
      <c r="Z90" s="56"/>
      <c r="AA90" s="55"/>
    </row>
    <row r="91" spans="15:27">
      <c r="O91" s="57"/>
      <c r="P91" s="57"/>
      <c r="Q91" s="53"/>
      <c r="R91" s="56"/>
      <c r="S91" s="56"/>
      <c r="T91" s="55"/>
      <c r="U91" s="55"/>
      <c r="V91" s="55"/>
      <c r="W91" s="56"/>
      <c r="X91" s="56"/>
      <c r="Y91" s="56"/>
      <c r="Z91" s="56"/>
      <c r="AA91" s="56"/>
    </row>
    <row r="92" spans="15:27">
      <c r="O92" s="57"/>
      <c r="P92" s="57"/>
      <c r="Q92" s="53"/>
      <c r="R92" s="56"/>
      <c r="S92" s="56"/>
      <c r="T92" s="55"/>
      <c r="U92" s="55"/>
      <c r="V92" s="55"/>
      <c r="W92" s="56"/>
      <c r="X92" s="56"/>
      <c r="Y92" s="56"/>
      <c r="Z92" s="56"/>
      <c r="AA92" s="56"/>
    </row>
    <row r="93" spans="15:27">
      <c r="O93" s="57"/>
      <c r="P93" s="57"/>
      <c r="Q93" s="53"/>
      <c r="R93" s="56"/>
      <c r="S93" s="56"/>
      <c r="T93" s="55"/>
      <c r="U93" s="55"/>
      <c r="V93" s="55"/>
      <c r="W93" s="56"/>
      <c r="X93" s="56"/>
      <c r="Y93" s="56"/>
      <c r="Z93" s="56"/>
      <c r="AA93" s="56"/>
    </row>
  </sheetData>
  <mergeCells count="69">
    <mergeCell ref="L13:N13"/>
    <mergeCell ref="C13:E13"/>
    <mergeCell ref="A14:B14"/>
    <mergeCell ref="C14:E14"/>
    <mergeCell ref="A13:B13"/>
    <mergeCell ref="G13:K13"/>
    <mergeCell ref="G14:K14"/>
    <mergeCell ref="L14:N14"/>
    <mergeCell ref="A6:M6"/>
    <mergeCell ref="A7:M7"/>
    <mergeCell ref="A8:M8"/>
    <mergeCell ref="C12:E12"/>
    <mergeCell ref="A11:N11"/>
    <mergeCell ref="A12:B12"/>
    <mergeCell ref="G12:K12"/>
    <mergeCell ref="L12:N12"/>
    <mergeCell ref="A23:B23"/>
    <mergeCell ref="A15:B15"/>
    <mergeCell ref="C15:E15"/>
    <mergeCell ref="A16:B16"/>
    <mergeCell ref="C16:E16"/>
    <mergeCell ref="A18:M18"/>
    <mergeCell ref="A19:B19"/>
    <mergeCell ref="A20:B20"/>
    <mergeCell ref="A21:B21"/>
    <mergeCell ref="A22:B22"/>
    <mergeCell ref="G15:K15"/>
    <mergeCell ref="L15:N15"/>
    <mergeCell ref="G16:K16"/>
    <mergeCell ref="L16:N16"/>
    <mergeCell ref="A24:B24"/>
    <mergeCell ref="A25:B25"/>
    <mergeCell ref="A26:B26"/>
    <mergeCell ref="A34:M34"/>
    <mergeCell ref="D61:E61"/>
    <mergeCell ref="F61:G61"/>
    <mergeCell ref="I61:J61"/>
    <mergeCell ref="K61:M61"/>
    <mergeCell ref="D62:E62"/>
    <mergeCell ref="F62:G62"/>
    <mergeCell ref="I62:J62"/>
    <mergeCell ref="K62:M62"/>
    <mergeCell ref="D63:E63"/>
    <mergeCell ref="F63:G63"/>
    <mergeCell ref="I63:J63"/>
    <mergeCell ref="K63:M63"/>
    <mergeCell ref="D64:E64"/>
    <mergeCell ref="F64:G64"/>
    <mergeCell ref="I64:J64"/>
    <mergeCell ref="K64:M64"/>
    <mergeCell ref="D65:E65"/>
    <mergeCell ref="F65:G65"/>
    <mergeCell ref="I65:J65"/>
    <mergeCell ref="K65:M65"/>
    <mergeCell ref="D66:E66"/>
    <mergeCell ref="F66:G66"/>
    <mergeCell ref="I66:J66"/>
    <mergeCell ref="K66:M66"/>
    <mergeCell ref="D67:E67"/>
    <mergeCell ref="F67:G67"/>
    <mergeCell ref="I67:J67"/>
    <mergeCell ref="K67:M67"/>
    <mergeCell ref="A73:M73"/>
    <mergeCell ref="A77:E77"/>
    <mergeCell ref="F77:J77"/>
    <mergeCell ref="K77:M77"/>
    <mergeCell ref="A78:E78"/>
    <mergeCell ref="F78:J78"/>
    <mergeCell ref="K78:M7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8649-B414-402C-B8E8-4EE243232934}">
  <dimension ref="A1:AA91"/>
  <sheetViews>
    <sheetView topLeftCell="A10" zoomScale="115" zoomScaleNormal="115" workbookViewId="0">
      <selection activeCell="A11" sqref="A11:N16"/>
    </sheetView>
  </sheetViews>
  <sheetFormatPr defaultRowHeight="15.6"/>
  <cols>
    <col min="4" max="13" width="5.5976562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/>
    <row r="6" spans="1:14" ht="17.399999999999999">
      <c r="A6" s="202" t="s">
        <v>114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7" spans="1:14">
      <c r="A7" s="203" t="s">
        <v>115</v>
      </c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</row>
    <row r="8" spans="1:14">
      <c r="A8" s="204" t="s">
        <v>116</v>
      </c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</row>
    <row r="9" spans="1:14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</row>
    <row r="11" spans="1:14" ht="21.9" customHeight="1">
      <c r="A11" s="208" t="s">
        <v>197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</row>
    <row r="12" spans="1:14" ht="20.100000000000001" customHeight="1">
      <c r="A12" s="200" t="s">
        <v>199</v>
      </c>
      <c r="B12" s="200"/>
      <c r="C12" s="207"/>
      <c r="D12" s="207"/>
      <c r="E12" s="207"/>
      <c r="F12" s="38"/>
      <c r="G12" s="209" t="s">
        <v>203</v>
      </c>
      <c r="H12" s="209"/>
      <c r="I12" s="209"/>
      <c r="J12" s="209"/>
      <c r="K12" s="209"/>
      <c r="L12" s="210"/>
      <c r="M12" s="210"/>
      <c r="N12" s="210"/>
    </row>
    <row r="13" spans="1:14" ht="20.100000000000001" customHeight="1">
      <c r="A13" s="200" t="s">
        <v>200</v>
      </c>
      <c r="B13" s="200"/>
      <c r="C13" s="207"/>
      <c r="D13" s="207"/>
      <c r="E13" s="207"/>
      <c r="F13" s="41"/>
      <c r="G13" s="199" t="s">
        <v>204</v>
      </c>
      <c r="H13" s="199"/>
      <c r="I13" s="199"/>
      <c r="J13" s="199"/>
      <c r="K13" s="199"/>
      <c r="L13" s="210"/>
      <c r="M13" s="210"/>
      <c r="N13" s="210"/>
    </row>
    <row r="14" spans="1:14" ht="20.100000000000001" customHeight="1">
      <c r="A14" s="206" t="s">
        <v>198</v>
      </c>
      <c r="B14" s="206"/>
      <c r="C14" s="190"/>
      <c r="D14" s="190"/>
      <c r="E14" s="190"/>
      <c r="F14" s="37"/>
      <c r="G14" s="199" t="s">
        <v>205</v>
      </c>
      <c r="H14" s="199"/>
      <c r="I14" s="199"/>
      <c r="J14" s="199"/>
      <c r="K14" s="199"/>
      <c r="L14" s="210"/>
      <c r="M14" s="210"/>
      <c r="N14" s="210"/>
    </row>
    <row r="15" spans="1:14" ht="20.100000000000001" customHeight="1">
      <c r="A15" s="206" t="s">
        <v>201</v>
      </c>
      <c r="B15" s="206"/>
      <c r="C15" s="190"/>
      <c r="D15" s="190"/>
      <c r="E15" s="190"/>
      <c r="F15" s="37"/>
      <c r="G15" s="200" t="s">
        <v>206</v>
      </c>
      <c r="H15" s="200"/>
      <c r="I15" s="200"/>
      <c r="J15" s="200"/>
      <c r="K15" s="200"/>
      <c r="L15" s="210"/>
      <c r="M15" s="210"/>
      <c r="N15" s="210"/>
    </row>
    <row r="16" spans="1:14" ht="20.100000000000001" customHeight="1">
      <c r="A16" s="206" t="s">
        <v>202</v>
      </c>
      <c r="B16" s="206"/>
      <c r="C16" s="205"/>
      <c r="D16" s="205"/>
      <c r="E16" s="205"/>
      <c r="F16" s="73"/>
      <c r="G16" s="200" t="s">
        <v>207</v>
      </c>
      <c r="H16" s="200"/>
      <c r="I16" s="200"/>
      <c r="J16" s="200"/>
      <c r="K16" s="200"/>
      <c r="L16" s="210"/>
      <c r="M16" s="210"/>
      <c r="N16" s="210"/>
    </row>
    <row r="17" spans="1:13" ht="21.9" customHeight="1"/>
    <row r="18" spans="1:13" ht="30" customHeight="1">
      <c r="A18" s="193" t="s">
        <v>189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</row>
    <row r="19" spans="1:13" ht="30" customHeight="1">
      <c r="A19" s="192" t="s">
        <v>157</v>
      </c>
      <c r="B19" s="192"/>
      <c r="C19" s="74" t="s">
        <v>158</v>
      </c>
      <c r="D19" s="42">
        <v>1</v>
      </c>
      <c r="E19" s="42">
        <v>2</v>
      </c>
      <c r="F19" s="42">
        <v>3</v>
      </c>
      <c r="G19" s="42">
        <v>4</v>
      </c>
      <c r="H19" s="42">
        <v>5</v>
      </c>
      <c r="I19" s="42">
        <v>6</v>
      </c>
      <c r="J19" s="42">
        <v>7</v>
      </c>
      <c r="K19" s="42">
        <v>8</v>
      </c>
      <c r="L19" s="42">
        <v>9</v>
      </c>
      <c r="M19" s="42">
        <v>10</v>
      </c>
    </row>
    <row r="20" spans="1:13" ht="35.1" customHeight="1">
      <c r="A20" s="191" t="s">
        <v>159</v>
      </c>
      <c r="B20" s="191"/>
      <c r="C20" s="75" t="s">
        <v>156</v>
      </c>
      <c r="D20" s="76"/>
      <c r="E20" s="76"/>
      <c r="F20" s="76"/>
      <c r="G20" s="76"/>
      <c r="H20" s="76"/>
      <c r="I20" s="76"/>
      <c r="J20" s="76"/>
      <c r="K20" s="76"/>
      <c r="L20" s="76"/>
      <c r="M20" s="76"/>
    </row>
    <row r="21" spans="1:13" ht="35.1" customHeight="1">
      <c r="A21" s="191" t="s">
        <v>160</v>
      </c>
      <c r="B21" s="191"/>
      <c r="C21" s="75" t="s">
        <v>36</v>
      </c>
      <c r="D21" s="76"/>
      <c r="E21" s="76"/>
      <c r="F21" s="76"/>
      <c r="G21" s="76"/>
      <c r="H21" s="76"/>
      <c r="I21" s="76"/>
      <c r="J21" s="76"/>
      <c r="K21" s="76"/>
      <c r="L21" s="76"/>
      <c r="M21" s="76"/>
    </row>
    <row r="22" spans="1:13" ht="35.1" customHeight="1">
      <c r="A22" s="191" t="s">
        <v>161</v>
      </c>
      <c r="B22" s="191"/>
      <c r="C22" s="75" t="s">
        <v>36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</row>
    <row r="23" spans="1:13" ht="35.1" customHeight="1">
      <c r="A23" s="191" t="s">
        <v>162</v>
      </c>
      <c r="B23" s="191"/>
      <c r="C23" s="75" t="s">
        <v>37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</row>
    <row r="24" spans="1:13" ht="35.1" customHeight="1">
      <c r="A24" s="191" t="s">
        <v>163</v>
      </c>
      <c r="B24" s="191"/>
      <c r="C24" s="75" t="s">
        <v>117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</row>
    <row r="25" spans="1:13" ht="35.1" customHeight="1">
      <c r="A25" s="191" t="s">
        <v>164</v>
      </c>
      <c r="B25" s="191"/>
      <c r="C25" s="75" t="s">
        <v>117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</row>
    <row r="26" spans="1:13" ht="24.9" customHeight="1">
      <c r="A26" s="201"/>
      <c r="B26" s="201"/>
    </row>
    <row r="27" spans="1:13" ht="24.9" customHeight="1"/>
    <row r="28" spans="1:13" ht="24.9" customHeight="1"/>
    <row r="29" spans="1:13" ht="24.9" customHeight="1"/>
    <row r="30" spans="1:13" ht="24.9" customHeight="1"/>
    <row r="32" spans="1:13">
      <c r="A32" s="196" t="s">
        <v>119</v>
      </c>
      <c r="B32" s="196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</row>
    <row r="33" spans="1:1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</row>
    <row r="34" spans="1:1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 spans="1:1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spans="1:1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spans="1:1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1:1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 spans="1:1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spans="1:1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1:1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spans="1:1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1:1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spans="1:1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spans="1:1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spans="1:1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spans="1:13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 spans="1:1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spans="1:13">
      <c r="A57" s="44"/>
      <c r="B57" s="44"/>
      <c r="C57" s="44"/>
      <c r="D57" s="45"/>
      <c r="E57" s="45"/>
      <c r="F57" s="45"/>
      <c r="G57" s="45"/>
      <c r="H57" s="45"/>
      <c r="I57" s="45"/>
      <c r="J57" s="45"/>
      <c r="K57" s="45"/>
      <c r="L57" s="45"/>
      <c r="M57" s="45"/>
    </row>
    <row r="58" spans="1:13">
      <c r="A58" s="44"/>
      <c r="B58" s="44"/>
      <c r="C58" s="44"/>
      <c r="D58" s="45"/>
      <c r="E58" s="45"/>
      <c r="F58" s="45"/>
      <c r="G58" s="45"/>
      <c r="H58" s="45"/>
      <c r="I58" s="45"/>
      <c r="J58" s="45"/>
      <c r="K58" s="45"/>
      <c r="L58" s="45"/>
      <c r="M58" s="45"/>
    </row>
    <row r="59" spans="1:13">
      <c r="A59" s="46"/>
      <c r="B59" s="46"/>
      <c r="C59" s="46"/>
      <c r="D59" s="195"/>
      <c r="E59" s="195"/>
      <c r="F59" s="195"/>
      <c r="G59" s="195"/>
      <c r="H59" s="47"/>
      <c r="I59" s="195"/>
      <c r="J59" s="195"/>
      <c r="K59" s="195"/>
      <c r="L59" s="195"/>
      <c r="M59" s="195"/>
    </row>
    <row r="60" spans="1:13">
      <c r="A60" s="46"/>
      <c r="B60" s="46"/>
      <c r="C60" s="46"/>
      <c r="D60" s="195"/>
      <c r="E60" s="195"/>
      <c r="F60" s="195"/>
      <c r="G60" s="195"/>
      <c r="H60" s="47"/>
      <c r="I60" s="195"/>
      <c r="J60" s="195"/>
      <c r="K60" s="195"/>
      <c r="L60" s="195"/>
      <c r="M60" s="195"/>
    </row>
    <row r="61" spans="1:13">
      <c r="A61" s="46"/>
      <c r="B61" s="46"/>
      <c r="C61" s="46"/>
      <c r="D61" s="195"/>
      <c r="E61" s="195"/>
      <c r="F61" s="195"/>
      <c r="G61" s="195"/>
      <c r="H61" s="47"/>
      <c r="I61" s="195"/>
      <c r="J61" s="195"/>
      <c r="K61" s="195"/>
      <c r="L61" s="195"/>
      <c r="M61" s="195"/>
    </row>
    <row r="62" spans="1:13">
      <c r="A62" s="46"/>
      <c r="B62" s="46"/>
      <c r="C62" s="46"/>
      <c r="D62" s="195"/>
      <c r="E62" s="195"/>
      <c r="F62" s="195"/>
      <c r="G62" s="195"/>
      <c r="H62" s="47"/>
      <c r="I62" s="195"/>
      <c r="J62" s="195"/>
      <c r="K62" s="195"/>
      <c r="L62" s="195"/>
      <c r="M62" s="195"/>
    </row>
    <row r="63" spans="1:13">
      <c r="A63" s="46"/>
      <c r="B63" s="46"/>
      <c r="C63" s="46"/>
      <c r="D63" s="195"/>
      <c r="E63" s="195"/>
      <c r="F63" s="195"/>
      <c r="G63" s="195"/>
      <c r="H63" s="47"/>
      <c r="I63" s="195"/>
      <c r="J63" s="195"/>
      <c r="K63" s="195"/>
      <c r="L63" s="195"/>
      <c r="M63" s="195"/>
    </row>
    <row r="64" spans="1:13">
      <c r="A64" s="46"/>
      <c r="B64" s="46"/>
      <c r="C64" s="46"/>
      <c r="D64" s="195"/>
      <c r="E64" s="195"/>
      <c r="F64" s="195"/>
      <c r="G64" s="195"/>
      <c r="H64" s="47"/>
      <c r="I64" s="195"/>
      <c r="J64" s="195"/>
      <c r="K64" s="195"/>
      <c r="L64" s="195"/>
      <c r="M64" s="195"/>
    </row>
    <row r="65" spans="1:13">
      <c r="A65" s="46"/>
      <c r="B65" s="46"/>
      <c r="C65" s="46"/>
      <c r="D65" s="195"/>
      <c r="E65" s="195"/>
      <c r="F65" s="195"/>
      <c r="G65" s="195"/>
      <c r="H65" s="47"/>
      <c r="I65" s="195"/>
      <c r="J65" s="195"/>
      <c r="K65" s="195"/>
      <c r="L65" s="195"/>
      <c r="M65" s="195"/>
    </row>
    <row r="66" spans="1:1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</row>
    <row r="67" spans="1:1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</row>
    <row r="68" spans="1:1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spans="1:1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spans="1:1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spans="1:13">
      <c r="A71" s="196" t="s">
        <v>120</v>
      </c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</row>
    <row r="72" spans="1:13">
      <c r="A72" s="52"/>
      <c r="B72" s="48"/>
      <c r="C72" s="48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 spans="1:13">
      <c r="A73" s="52"/>
      <c r="B73" s="48"/>
      <c r="C73" s="48"/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 spans="1:1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 spans="1:13">
      <c r="A75" s="197" t="s">
        <v>121</v>
      </c>
      <c r="B75" s="197"/>
      <c r="C75" s="197"/>
      <c r="D75" s="197"/>
      <c r="E75" s="197"/>
      <c r="F75" s="198" t="s">
        <v>122</v>
      </c>
      <c r="G75" s="198"/>
      <c r="H75" s="198"/>
      <c r="I75" s="198"/>
      <c r="J75" s="198"/>
      <c r="K75" s="198" t="s">
        <v>123</v>
      </c>
      <c r="L75" s="198"/>
      <c r="M75" s="198"/>
    </row>
    <row r="76" spans="1:13">
      <c r="A76" s="194" t="s">
        <v>124</v>
      </c>
      <c r="B76" s="194"/>
      <c r="C76" s="194"/>
      <c r="D76" s="194"/>
      <c r="E76" s="194"/>
      <c r="F76" s="194" t="s">
        <v>125</v>
      </c>
      <c r="G76" s="194"/>
      <c r="H76" s="194"/>
      <c r="I76" s="194"/>
      <c r="J76" s="194"/>
      <c r="K76" s="194" t="s">
        <v>126</v>
      </c>
      <c r="L76" s="194"/>
      <c r="M76" s="194"/>
    </row>
    <row r="82" spans="15:27"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</row>
    <row r="83" spans="15:27">
      <c r="O83" s="57"/>
      <c r="P83" s="57"/>
      <c r="Q83" s="53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 spans="15:27">
      <c r="O84" s="57"/>
      <c r="P84" s="57"/>
      <c r="Q84" s="53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 spans="15:27">
      <c r="O85" s="57"/>
      <c r="P85" s="57"/>
      <c r="Q85" s="53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 spans="15:27">
      <c r="O86" s="57"/>
      <c r="P86" s="57"/>
      <c r="Q86" s="53"/>
    </row>
    <row r="87" spans="15:27">
      <c r="O87" s="57"/>
      <c r="P87" s="57"/>
      <c r="Q87" s="53"/>
    </row>
    <row r="88" spans="15:27">
      <c r="O88" s="57"/>
      <c r="P88" s="57"/>
      <c r="Q88" s="53"/>
      <c r="R88" s="55"/>
      <c r="S88" s="55"/>
      <c r="T88" s="55"/>
      <c r="U88" s="55"/>
      <c r="V88" s="55"/>
      <c r="W88" s="56"/>
      <c r="X88" s="56"/>
      <c r="Y88" s="56"/>
      <c r="Z88" s="56"/>
      <c r="AA88" s="55"/>
    </row>
    <row r="89" spans="15:27">
      <c r="O89" s="57"/>
      <c r="P89" s="57"/>
      <c r="Q89" s="53"/>
      <c r="R89" s="56"/>
      <c r="S89" s="56"/>
      <c r="T89" s="55"/>
      <c r="U89" s="55"/>
      <c r="V89" s="55"/>
      <c r="W89" s="56"/>
      <c r="X89" s="56"/>
      <c r="Y89" s="56"/>
      <c r="Z89" s="56"/>
      <c r="AA89" s="56"/>
    </row>
    <row r="90" spans="15:27">
      <c r="O90" s="57"/>
      <c r="P90" s="57"/>
      <c r="Q90" s="53"/>
      <c r="R90" s="56"/>
      <c r="S90" s="56"/>
      <c r="T90" s="55"/>
      <c r="U90" s="55"/>
      <c r="V90" s="55"/>
      <c r="W90" s="56"/>
      <c r="X90" s="56"/>
      <c r="Y90" s="56"/>
      <c r="Z90" s="56"/>
      <c r="AA90" s="56"/>
    </row>
    <row r="91" spans="15:27">
      <c r="O91" s="57"/>
      <c r="P91" s="57"/>
      <c r="Q91" s="53"/>
      <c r="R91" s="56"/>
      <c r="S91" s="56"/>
      <c r="T91" s="55"/>
      <c r="U91" s="55"/>
      <c r="V91" s="55"/>
      <c r="W91" s="56"/>
      <c r="X91" s="56"/>
      <c r="Y91" s="56"/>
      <c r="Z91" s="56"/>
      <c r="AA91" s="56"/>
    </row>
  </sheetData>
  <mergeCells count="69">
    <mergeCell ref="L13:N13"/>
    <mergeCell ref="C13:E13"/>
    <mergeCell ref="A14:B14"/>
    <mergeCell ref="C14:E14"/>
    <mergeCell ref="A13:B13"/>
    <mergeCell ref="G13:K13"/>
    <mergeCell ref="G14:K14"/>
    <mergeCell ref="L14:N14"/>
    <mergeCell ref="A6:M6"/>
    <mergeCell ref="A7:M7"/>
    <mergeCell ref="A8:M8"/>
    <mergeCell ref="C12:E12"/>
    <mergeCell ref="A11:N11"/>
    <mergeCell ref="A12:B12"/>
    <mergeCell ref="G12:K12"/>
    <mergeCell ref="L12:N12"/>
    <mergeCell ref="A23:B23"/>
    <mergeCell ref="A15:B15"/>
    <mergeCell ref="C15:E15"/>
    <mergeCell ref="A16:B16"/>
    <mergeCell ref="C16:E16"/>
    <mergeCell ref="A18:M18"/>
    <mergeCell ref="A19:B19"/>
    <mergeCell ref="A20:B20"/>
    <mergeCell ref="A21:B21"/>
    <mergeCell ref="A22:B22"/>
    <mergeCell ref="G15:K15"/>
    <mergeCell ref="L15:N15"/>
    <mergeCell ref="G16:K16"/>
    <mergeCell ref="L16:N16"/>
    <mergeCell ref="A24:B24"/>
    <mergeCell ref="A25:B25"/>
    <mergeCell ref="A26:B26"/>
    <mergeCell ref="A32:M32"/>
    <mergeCell ref="D59:E59"/>
    <mergeCell ref="F59:G59"/>
    <mergeCell ref="I59:J59"/>
    <mergeCell ref="K59:M59"/>
    <mergeCell ref="D60:E60"/>
    <mergeCell ref="F60:G60"/>
    <mergeCell ref="I60:J60"/>
    <mergeCell ref="K60:M60"/>
    <mergeCell ref="D61:E61"/>
    <mergeCell ref="F61:G61"/>
    <mergeCell ref="I61:J61"/>
    <mergeCell ref="K61:M61"/>
    <mergeCell ref="D62:E62"/>
    <mergeCell ref="F62:G62"/>
    <mergeCell ref="I62:J62"/>
    <mergeCell ref="K62:M62"/>
    <mergeCell ref="D63:E63"/>
    <mergeCell ref="F63:G63"/>
    <mergeCell ref="I63:J63"/>
    <mergeCell ref="K63:M63"/>
    <mergeCell ref="D64:E64"/>
    <mergeCell ref="F64:G64"/>
    <mergeCell ref="I64:J64"/>
    <mergeCell ref="K64:M64"/>
    <mergeCell ref="D65:E65"/>
    <mergeCell ref="F65:G65"/>
    <mergeCell ref="I65:J65"/>
    <mergeCell ref="K65:M65"/>
    <mergeCell ref="A71:M71"/>
    <mergeCell ref="A75:E75"/>
    <mergeCell ref="F75:J75"/>
    <mergeCell ref="K75:M75"/>
    <mergeCell ref="A76:E76"/>
    <mergeCell ref="F76:J76"/>
    <mergeCell ref="K76:M7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17B0-BD1F-4B24-A482-81D1502A4CC9}">
  <dimension ref="A1:N76"/>
  <sheetViews>
    <sheetView topLeftCell="A13" zoomScaleNormal="100" workbookViewId="0">
      <selection activeCell="Q31" sqref="Q31"/>
    </sheetView>
  </sheetViews>
  <sheetFormatPr defaultRowHeight="15.6"/>
  <cols>
    <col min="2" max="2" width="18.8984375" customWidth="1"/>
    <col min="4" max="13" width="5.5976562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/>
    <row r="6" spans="1:14" ht="17.399999999999999">
      <c r="A6" s="202" t="s">
        <v>114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7" spans="1:14">
      <c r="A7" s="203" t="s">
        <v>115</v>
      </c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</row>
    <row r="8" spans="1:14">
      <c r="A8" s="204" t="s">
        <v>116</v>
      </c>
      <c r="B8" s="204"/>
      <c r="C8" s="204"/>
      <c r="D8" s="225"/>
      <c r="E8" s="225"/>
      <c r="F8" s="225"/>
      <c r="G8" s="225"/>
      <c r="H8" s="225"/>
      <c r="I8" s="225"/>
      <c r="J8" s="225"/>
      <c r="K8" s="225"/>
      <c r="L8" s="225"/>
      <c r="M8" s="225"/>
    </row>
    <row r="9" spans="1:14" ht="14.1" customHeight="1">
      <c r="A9" s="37"/>
      <c r="B9" s="37"/>
      <c r="C9" s="37"/>
      <c r="D9" s="38"/>
      <c r="E9" s="38"/>
      <c r="F9" s="49"/>
      <c r="H9" s="39"/>
      <c r="I9" s="40"/>
      <c r="J9" s="39"/>
      <c r="K9" s="38"/>
      <c r="L9" s="97"/>
      <c r="M9" s="96"/>
    </row>
    <row r="10" spans="1:14" ht="14.1" customHeight="1">
      <c r="A10" s="37"/>
      <c r="B10" s="37"/>
      <c r="C10" s="37"/>
      <c r="D10" s="41"/>
      <c r="E10" s="41"/>
      <c r="F10" s="49"/>
      <c r="H10" s="39"/>
      <c r="I10" s="41"/>
      <c r="J10" s="39"/>
      <c r="K10" s="41"/>
      <c r="L10" s="98"/>
      <c r="M10" s="96"/>
    </row>
    <row r="11" spans="1:14" ht="18" customHeight="1">
      <c r="A11" s="208" t="s">
        <v>197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</row>
    <row r="12" spans="1:14" ht="21.75" customHeight="1">
      <c r="A12" s="200" t="s">
        <v>199</v>
      </c>
      <c r="B12" s="200"/>
      <c r="C12" s="207"/>
      <c r="D12" s="207"/>
      <c r="E12" s="207"/>
      <c r="F12" s="38"/>
      <c r="G12" s="209" t="s">
        <v>203</v>
      </c>
      <c r="H12" s="209"/>
      <c r="I12" s="209"/>
      <c r="J12" s="209"/>
      <c r="K12" s="209"/>
      <c r="L12" s="210"/>
      <c r="M12" s="210"/>
      <c r="N12" s="210"/>
    </row>
    <row r="13" spans="1:14" ht="21" customHeight="1">
      <c r="A13" s="200" t="s">
        <v>200</v>
      </c>
      <c r="B13" s="200"/>
      <c r="C13" s="207"/>
      <c r="D13" s="207"/>
      <c r="E13" s="207"/>
      <c r="F13" s="41"/>
      <c r="G13" s="199" t="s">
        <v>204</v>
      </c>
      <c r="H13" s="199"/>
      <c r="I13" s="199"/>
      <c r="J13" s="199"/>
      <c r="K13" s="199"/>
      <c r="L13" s="210"/>
      <c r="M13" s="210"/>
      <c r="N13" s="210"/>
    </row>
    <row r="14" spans="1:14" ht="24.75" customHeight="1">
      <c r="A14" s="206" t="s">
        <v>198</v>
      </c>
      <c r="B14" s="206"/>
      <c r="C14" s="190"/>
      <c r="D14" s="190"/>
      <c r="E14" s="190"/>
      <c r="F14" s="37"/>
      <c r="G14" s="199" t="s">
        <v>205</v>
      </c>
      <c r="H14" s="199"/>
      <c r="I14" s="199"/>
      <c r="J14" s="199"/>
      <c r="K14" s="199"/>
      <c r="L14" s="210"/>
      <c r="M14" s="210"/>
      <c r="N14" s="210"/>
    </row>
    <row r="15" spans="1:14" ht="21" customHeight="1">
      <c r="A15" s="206" t="s">
        <v>201</v>
      </c>
      <c r="B15" s="206"/>
      <c r="C15" s="190"/>
      <c r="D15" s="190"/>
      <c r="E15" s="190"/>
      <c r="F15" s="37"/>
      <c r="G15" s="200" t="s">
        <v>206</v>
      </c>
      <c r="H15" s="200"/>
      <c r="I15" s="200"/>
      <c r="J15" s="200"/>
      <c r="K15" s="200"/>
      <c r="L15" s="210"/>
      <c r="M15" s="210"/>
      <c r="N15" s="210"/>
    </row>
    <row r="16" spans="1:14" ht="21" customHeight="1">
      <c r="A16" s="206" t="s">
        <v>202</v>
      </c>
      <c r="B16" s="206"/>
      <c r="C16" s="205"/>
      <c r="D16" s="205"/>
      <c r="E16" s="205"/>
      <c r="F16" s="73"/>
      <c r="G16" s="200" t="s">
        <v>207</v>
      </c>
      <c r="H16" s="200"/>
      <c r="I16" s="200"/>
      <c r="J16" s="200"/>
      <c r="K16" s="200"/>
      <c r="L16" s="210"/>
      <c r="M16" s="210"/>
      <c r="N16" s="210"/>
    </row>
    <row r="17" spans="1:14" ht="14.1" customHeight="1" thickBot="1">
      <c r="A17" s="121"/>
      <c r="B17" s="121"/>
      <c r="C17" s="120"/>
      <c r="D17" s="120"/>
      <c r="E17" s="120"/>
      <c r="F17" s="73"/>
      <c r="G17" s="122"/>
      <c r="H17" s="122"/>
      <c r="I17" s="122"/>
      <c r="J17" s="122"/>
      <c r="K17" s="122"/>
      <c r="L17" s="119"/>
      <c r="M17" s="119"/>
      <c r="N17" s="119"/>
    </row>
    <row r="18" spans="1:14" ht="27.9" customHeight="1">
      <c r="A18" s="222" t="s">
        <v>177</v>
      </c>
      <c r="B18" s="223"/>
      <c r="C18" s="223"/>
      <c r="D18" s="223"/>
      <c r="E18" s="223"/>
      <c r="F18" s="223"/>
      <c r="G18" s="223"/>
      <c r="H18" s="223"/>
      <c r="I18" s="223"/>
      <c r="J18" s="223"/>
      <c r="K18" s="223"/>
      <c r="L18" s="223"/>
      <c r="M18" s="224"/>
    </row>
    <row r="19" spans="1:14" ht="27.9" customHeight="1">
      <c r="A19" s="215" t="s">
        <v>157</v>
      </c>
      <c r="B19" s="216"/>
      <c r="C19" s="92" t="s">
        <v>158</v>
      </c>
      <c r="D19" s="91">
        <v>1</v>
      </c>
      <c r="E19" s="91">
        <v>2</v>
      </c>
      <c r="F19" s="91">
        <v>3</v>
      </c>
      <c r="G19" s="91">
        <v>4</v>
      </c>
      <c r="H19" s="91">
        <v>5</v>
      </c>
      <c r="I19" s="91">
        <v>6</v>
      </c>
      <c r="J19" s="91">
        <v>7</v>
      </c>
      <c r="K19" s="91">
        <v>8</v>
      </c>
      <c r="L19" s="91">
        <v>9</v>
      </c>
      <c r="M19" s="99">
        <v>10</v>
      </c>
    </row>
    <row r="20" spans="1:14" ht="27.9" customHeight="1">
      <c r="A20" s="217" t="s">
        <v>178</v>
      </c>
      <c r="B20" s="218"/>
      <c r="C20" s="75" t="s">
        <v>156</v>
      </c>
      <c r="D20" s="93"/>
      <c r="E20" s="93"/>
      <c r="F20" s="93"/>
      <c r="G20" s="93"/>
      <c r="H20" s="93"/>
      <c r="I20" s="93"/>
      <c r="J20" s="93"/>
      <c r="K20" s="93"/>
      <c r="L20" s="93"/>
      <c r="M20" s="100"/>
    </row>
    <row r="21" spans="1:14" ht="27.9" customHeight="1">
      <c r="A21" s="211" t="s">
        <v>179</v>
      </c>
      <c r="B21" s="212"/>
      <c r="C21" s="75" t="s">
        <v>36</v>
      </c>
      <c r="D21" s="50"/>
      <c r="E21" s="50"/>
      <c r="F21" s="50"/>
      <c r="G21" s="50"/>
      <c r="H21" s="50"/>
      <c r="I21" s="50"/>
      <c r="J21" s="50"/>
      <c r="K21" s="50"/>
      <c r="L21" s="50"/>
      <c r="M21" s="101"/>
    </row>
    <row r="22" spans="1:14" ht="27.9" customHeight="1">
      <c r="A22" s="211" t="s">
        <v>180</v>
      </c>
      <c r="B22" s="212"/>
      <c r="C22" s="75" t="s">
        <v>37</v>
      </c>
      <c r="D22" s="51"/>
      <c r="E22" s="51"/>
      <c r="F22" s="51"/>
      <c r="G22" s="51"/>
      <c r="H22" s="51"/>
      <c r="I22" s="51"/>
      <c r="J22" s="51"/>
      <c r="K22" s="51"/>
      <c r="L22" s="51"/>
      <c r="M22" s="102"/>
    </row>
    <row r="23" spans="1:14" ht="27.9" customHeight="1" thickBot="1">
      <c r="A23" s="213" t="s">
        <v>181</v>
      </c>
      <c r="B23" s="214"/>
      <c r="C23" s="103" t="s">
        <v>117</v>
      </c>
      <c r="D23" s="104"/>
      <c r="E23" s="104"/>
      <c r="F23" s="104"/>
      <c r="G23" s="104"/>
      <c r="H23" s="104"/>
      <c r="I23" s="104"/>
      <c r="J23" s="104"/>
      <c r="K23" s="104"/>
      <c r="L23" s="104"/>
      <c r="M23" s="105"/>
    </row>
    <row r="24" spans="1:14" ht="27.9" customHeight="1">
      <c r="A24" s="219" t="s">
        <v>182</v>
      </c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1"/>
    </row>
    <row r="25" spans="1:14" ht="27.9" customHeight="1">
      <c r="A25" s="217" t="s">
        <v>178</v>
      </c>
      <c r="B25" s="218"/>
      <c r="C25" s="75" t="s">
        <v>118</v>
      </c>
      <c r="D25" s="50"/>
      <c r="E25" s="50"/>
      <c r="F25" s="50"/>
      <c r="G25" s="50"/>
      <c r="H25" s="50"/>
      <c r="I25" s="50"/>
      <c r="J25" s="50"/>
      <c r="K25" s="50"/>
      <c r="L25" s="50"/>
      <c r="M25" s="101"/>
    </row>
    <row r="26" spans="1:14" ht="27.9" customHeight="1">
      <c r="A26" s="211" t="s">
        <v>179</v>
      </c>
      <c r="B26" s="212"/>
      <c r="C26" s="75" t="s">
        <v>36</v>
      </c>
      <c r="D26" s="50"/>
      <c r="E26" s="50"/>
      <c r="F26" s="50"/>
      <c r="G26" s="50"/>
      <c r="H26" s="50"/>
      <c r="I26" s="50"/>
      <c r="J26" s="50"/>
      <c r="K26" s="50"/>
      <c r="L26" s="50"/>
      <c r="M26" s="101"/>
    </row>
    <row r="27" spans="1:14" ht="27.9" customHeight="1">
      <c r="A27" s="211" t="s">
        <v>180</v>
      </c>
      <c r="B27" s="212"/>
      <c r="C27" s="75" t="s">
        <v>37</v>
      </c>
      <c r="D27" s="51"/>
      <c r="E27" s="51"/>
      <c r="F27" s="51"/>
      <c r="G27" s="51"/>
      <c r="H27" s="51"/>
      <c r="I27" s="51"/>
      <c r="J27" s="51"/>
      <c r="K27" s="51"/>
      <c r="L27" s="51"/>
      <c r="M27" s="102"/>
    </row>
    <row r="28" spans="1:14" ht="27.9" customHeight="1" thickBot="1">
      <c r="A28" s="213" t="s">
        <v>181</v>
      </c>
      <c r="B28" s="214"/>
      <c r="C28" s="103" t="s">
        <v>117</v>
      </c>
      <c r="D28" s="104"/>
      <c r="E28" s="104"/>
      <c r="F28" s="104"/>
      <c r="G28" s="104"/>
      <c r="H28" s="104"/>
      <c r="I28" s="104"/>
      <c r="J28" s="104"/>
      <c r="K28" s="104"/>
      <c r="L28" s="104"/>
      <c r="M28" s="105"/>
    </row>
    <row r="29" spans="1:14" ht="27.9" customHeight="1">
      <c r="A29" s="219" t="s">
        <v>183</v>
      </c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1"/>
    </row>
    <row r="30" spans="1:14" ht="27.9" customHeight="1">
      <c r="A30" s="217" t="s">
        <v>178</v>
      </c>
      <c r="B30" s="218"/>
      <c r="C30" s="75" t="s">
        <v>156</v>
      </c>
      <c r="D30" s="93"/>
      <c r="E30" s="93"/>
      <c r="F30" s="93"/>
      <c r="G30" s="93"/>
      <c r="H30" s="93"/>
      <c r="I30" s="93"/>
      <c r="J30" s="93"/>
      <c r="K30" s="93"/>
      <c r="L30" s="93"/>
      <c r="M30" s="100"/>
    </row>
    <row r="31" spans="1:14" ht="27.9" customHeight="1">
      <c r="A31" s="211" t="s">
        <v>179</v>
      </c>
      <c r="B31" s="212"/>
      <c r="C31" s="75" t="s">
        <v>36</v>
      </c>
      <c r="D31" s="93"/>
      <c r="E31" s="93"/>
      <c r="F31" s="93"/>
      <c r="G31" s="93"/>
      <c r="H31" s="93"/>
      <c r="I31" s="93"/>
      <c r="J31" s="93"/>
      <c r="K31" s="93"/>
      <c r="L31" s="93"/>
      <c r="M31" s="100"/>
    </row>
    <row r="32" spans="1:14" ht="27.9" customHeight="1">
      <c r="A32" s="211" t="s">
        <v>180</v>
      </c>
      <c r="B32" s="212"/>
      <c r="C32" s="75" t="s">
        <v>37</v>
      </c>
      <c r="D32" s="94"/>
      <c r="E32" s="94"/>
      <c r="F32" s="94"/>
      <c r="G32" s="94"/>
      <c r="H32" s="94"/>
      <c r="I32" s="94"/>
      <c r="J32" s="94"/>
      <c r="K32" s="94"/>
      <c r="L32" s="94"/>
      <c r="M32" s="106"/>
    </row>
    <row r="33" spans="1:13" ht="27.9" customHeight="1" thickBot="1">
      <c r="A33" s="213" t="s">
        <v>181</v>
      </c>
      <c r="B33" s="214"/>
      <c r="C33" s="103" t="s">
        <v>117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8"/>
    </row>
    <row r="34" spans="1:13" ht="24.9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</row>
    <row r="35" spans="1:13">
      <c r="A35" s="196" t="s">
        <v>119</v>
      </c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</row>
    <row r="36" spans="1:1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spans="1:1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1:13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spans="1:1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</row>
    <row r="42" spans="1:1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spans="1:1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1:1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spans="1:1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1:1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spans="1:1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spans="1:1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spans="1:1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spans="1:1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</row>
    <row r="56" spans="1:1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spans="1:13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</row>
    <row r="58" spans="1:13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</row>
    <row r="59" spans="1:1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</row>
    <row r="60" spans="1:13">
      <c r="A60" s="44"/>
      <c r="B60" s="44"/>
      <c r="C60" s="44"/>
      <c r="D60" s="45"/>
      <c r="E60" s="45"/>
      <c r="F60" s="45"/>
      <c r="G60" s="45"/>
      <c r="H60" s="45"/>
      <c r="I60" s="45"/>
      <c r="J60" s="45"/>
      <c r="K60" s="45"/>
      <c r="L60" s="45"/>
      <c r="M60" s="45"/>
    </row>
    <row r="61" spans="1:13">
      <c r="A61" s="44"/>
      <c r="B61" s="44"/>
      <c r="C61" s="44"/>
      <c r="D61" s="45"/>
      <c r="E61" s="45"/>
      <c r="F61" s="45"/>
      <c r="G61" s="45"/>
      <c r="H61" s="45"/>
      <c r="I61" s="45"/>
      <c r="J61" s="45"/>
      <c r="K61" s="45"/>
      <c r="L61" s="45"/>
      <c r="M61" s="45"/>
    </row>
    <row r="62" spans="1:13">
      <c r="A62" s="46"/>
      <c r="B62" s="46"/>
      <c r="C62" s="46"/>
      <c r="D62" s="195"/>
      <c r="E62" s="195"/>
      <c r="F62" s="195"/>
      <c r="G62" s="195"/>
      <c r="H62" s="47"/>
      <c r="I62" s="195"/>
      <c r="J62" s="195"/>
      <c r="K62" s="195"/>
      <c r="L62" s="195"/>
      <c r="M62" s="195"/>
    </row>
    <row r="63" spans="1:13">
      <c r="A63" s="46"/>
      <c r="B63" s="46"/>
      <c r="C63" s="46"/>
      <c r="D63" s="195"/>
      <c r="E63" s="195"/>
      <c r="F63" s="195"/>
      <c r="G63" s="195"/>
      <c r="H63" s="47"/>
      <c r="I63" s="195"/>
      <c r="J63" s="195"/>
      <c r="K63" s="195"/>
      <c r="L63" s="195"/>
      <c r="M63" s="195"/>
    </row>
    <row r="64" spans="1:13">
      <c r="A64" s="46"/>
      <c r="B64" s="46"/>
      <c r="C64" s="46"/>
      <c r="D64" s="195"/>
      <c r="E64" s="195"/>
      <c r="F64" s="195"/>
      <c r="G64" s="195"/>
      <c r="H64" s="47"/>
      <c r="I64" s="195"/>
      <c r="J64" s="195"/>
      <c r="K64" s="195"/>
      <c r="L64" s="195"/>
      <c r="M64" s="195"/>
    </row>
    <row r="65" spans="1:13">
      <c r="A65" s="46"/>
      <c r="B65" s="46"/>
      <c r="C65" s="46"/>
      <c r="D65" s="195"/>
      <c r="E65" s="195"/>
      <c r="F65" s="195"/>
      <c r="G65" s="195"/>
      <c r="H65" s="47"/>
      <c r="I65" s="195"/>
      <c r="J65" s="195"/>
      <c r="K65" s="195"/>
      <c r="L65" s="195"/>
      <c r="M65" s="195"/>
    </row>
    <row r="66" spans="1:13">
      <c r="A66" s="46"/>
      <c r="B66" s="46"/>
      <c r="C66" s="46"/>
      <c r="D66" s="195"/>
      <c r="E66" s="195"/>
      <c r="F66" s="195"/>
      <c r="G66" s="195"/>
      <c r="H66" s="47"/>
      <c r="I66" s="195"/>
      <c r="J66" s="195"/>
      <c r="K66" s="195"/>
      <c r="L66" s="195"/>
      <c r="M66" s="195"/>
    </row>
    <row r="67" spans="1:13">
      <c r="A67" s="46"/>
      <c r="B67" s="46"/>
      <c r="C67" s="46"/>
      <c r="D67" s="195"/>
      <c r="E67" s="195"/>
      <c r="F67" s="195"/>
      <c r="G67" s="195"/>
      <c r="H67" s="47"/>
      <c r="I67" s="195"/>
      <c r="J67" s="195"/>
      <c r="K67" s="195"/>
      <c r="L67" s="195"/>
      <c r="M67" s="195"/>
    </row>
    <row r="68" spans="1:13">
      <c r="A68" s="46"/>
      <c r="B68" s="46"/>
      <c r="C68" s="46"/>
      <c r="D68" s="195"/>
      <c r="E68" s="195"/>
      <c r="F68" s="195"/>
      <c r="G68" s="195"/>
      <c r="H68" s="47"/>
      <c r="I68" s="195"/>
      <c r="J68" s="195"/>
      <c r="K68" s="195"/>
      <c r="L68" s="195"/>
      <c r="M68" s="195"/>
    </row>
    <row r="69" spans="1:1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spans="1:1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spans="1:13">
      <c r="A71" s="196" t="s">
        <v>120</v>
      </c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</row>
    <row r="72" spans="1:13">
      <c r="A72" s="52"/>
      <c r="B72" s="48"/>
      <c r="C72" s="48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 spans="1:13">
      <c r="A73" s="52"/>
      <c r="B73" s="48"/>
      <c r="C73" s="48"/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 spans="1:1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 spans="1:13">
      <c r="A75" s="197" t="s">
        <v>121</v>
      </c>
      <c r="B75" s="197"/>
      <c r="C75" s="197"/>
      <c r="D75" s="197"/>
      <c r="E75" s="197"/>
      <c r="F75" s="198" t="s">
        <v>122</v>
      </c>
      <c r="G75" s="198"/>
      <c r="H75" s="198"/>
      <c r="I75" s="198"/>
      <c r="J75" s="198"/>
      <c r="K75" s="198" t="s">
        <v>123</v>
      </c>
      <c r="L75" s="198"/>
      <c r="M75" s="198"/>
    </row>
    <row r="76" spans="1:13">
      <c r="A76" s="194" t="s">
        <v>124</v>
      </c>
      <c r="B76" s="194"/>
      <c r="C76" s="194"/>
      <c r="D76" s="194"/>
      <c r="E76" s="194"/>
      <c r="F76" s="194" t="s">
        <v>125</v>
      </c>
      <c r="G76" s="194"/>
      <c r="H76" s="194"/>
      <c r="I76" s="194"/>
      <c r="J76" s="194"/>
      <c r="K76" s="194" t="s">
        <v>126</v>
      </c>
      <c r="L76" s="194"/>
      <c r="M76" s="194"/>
    </row>
  </sheetData>
  <mergeCells count="76">
    <mergeCell ref="C16:E16"/>
    <mergeCell ref="G16:K16"/>
    <mergeCell ref="A6:M6"/>
    <mergeCell ref="A7:M7"/>
    <mergeCell ref="A8:M8"/>
    <mergeCell ref="G14:K14"/>
    <mergeCell ref="A15:B15"/>
    <mergeCell ref="C15:E15"/>
    <mergeCell ref="G15:K15"/>
    <mergeCell ref="A18:M18"/>
    <mergeCell ref="A11:N11"/>
    <mergeCell ref="A12:B12"/>
    <mergeCell ref="C12:E12"/>
    <mergeCell ref="G12:K12"/>
    <mergeCell ref="L12:N12"/>
    <mergeCell ref="A13:B13"/>
    <mergeCell ref="C13:E13"/>
    <mergeCell ref="G13:K13"/>
    <mergeCell ref="L13:N13"/>
    <mergeCell ref="A14:B14"/>
    <mergeCell ref="C14:E14"/>
    <mergeCell ref="L14:N14"/>
    <mergeCell ref="L16:N16"/>
    <mergeCell ref="L15:N15"/>
    <mergeCell ref="A16:B16"/>
    <mergeCell ref="A32:B32"/>
    <mergeCell ref="A33:B33"/>
    <mergeCell ref="A26:B26"/>
    <mergeCell ref="A19:B19"/>
    <mergeCell ref="A21:B21"/>
    <mergeCell ref="A23:B23"/>
    <mergeCell ref="A25:B25"/>
    <mergeCell ref="A24:M24"/>
    <mergeCell ref="A20:B20"/>
    <mergeCell ref="A22:B22"/>
    <mergeCell ref="A27:B27"/>
    <mergeCell ref="A28:B28"/>
    <mergeCell ref="A30:B30"/>
    <mergeCell ref="A29:M29"/>
    <mergeCell ref="A31:B31"/>
    <mergeCell ref="A35:M35"/>
    <mergeCell ref="D62:E62"/>
    <mergeCell ref="F62:G62"/>
    <mergeCell ref="I62:J62"/>
    <mergeCell ref="K62:M62"/>
    <mergeCell ref="D63:E63"/>
    <mergeCell ref="F63:G63"/>
    <mergeCell ref="I63:J63"/>
    <mergeCell ref="K63:M63"/>
    <mergeCell ref="D64:E64"/>
    <mergeCell ref="F64:G64"/>
    <mergeCell ref="I64:J64"/>
    <mergeCell ref="K64:M64"/>
    <mergeCell ref="D65:E65"/>
    <mergeCell ref="F65:G65"/>
    <mergeCell ref="I65:J65"/>
    <mergeCell ref="K65:M65"/>
    <mergeCell ref="D66:E66"/>
    <mergeCell ref="F66:G66"/>
    <mergeCell ref="I66:J66"/>
    <mergeCell ref="K66:M66"/>
    <mergeCell ref="D67:E67"/>
    <mergeCell ref="F67:G67"/>
    <mergeCell ref="I67:J67"/>
    <mergeCell ref="K67:M67"/>
    <mergeCell ref="D68:E68"/>
    <mergeCell ref="F68:G68"/>
    <mergeCell ref="I68:J68"/>
    <mergeCell ref="K68:M68"/>
    <mergeCell ref="A76:E76"/>
    <mergeCell ref="F76:J76"/>
    <mergeCell ref="K76:M76"/>
    <mergeCell ref="A71:M71"/>
    <mergeCell ref="A75:E75"/>
    <mergeCell ref="F75:J75"/>
    <mergeCell ref="K75:M7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D6D6-2D67-459F-B437-08897503332B}">
  <sheetPr codeName="Sheet4"/>
  <dimension ref="B3:B4"/>
  <sheetViews>
    <sheetView workbookViewId="0">
      <selection activeCell="D6" sqref="D6"/>
    </sheetView>
  </sheetViews>
  <sheetFormatPr defaultRowHeight="15.6"/>
  <sheetData>
    <row r="3" spans="2:2">
      <c r="B3" t="s">
        <v>14</v>
      </c>
    </row>
    <row r="4" spans="2:2">
      <c r="B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Form</vt:lpstr>
      <vt:lpstr>Calculation</vt:lpstr>
      <vt:lpstr>Report</vt:lpstr>
      <vt:lpstr>Design Condition</vt:lpstr>
      <vt:lpstr>Normalized Condition</vt:lpstr>
      <vt:lpstr>Operating Condition</vt:lpstr>
      <vt:lpstr>Full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Nguyễn Trung Dũng</dc:creator>
  <cp:lastModifiedBy>T14</cp:lastModifiedBy>
  <cp:lastPrinted>2024-09-11T06:07:42Z</cp:lastPrinted>
  <dcterms:created xsi:type="dcterms:W3CDTF">2023-06-27T08:59:08Z</dcterms:created>
  <dcterms:modified xsi:type="dcterms:W3CDTF">2026-01-25T07:42:10Z</dcterms:modified>
</cp:coreProperties>
</file>